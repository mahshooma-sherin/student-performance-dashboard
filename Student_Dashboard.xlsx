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D765A0C4-554A-4347-B0E6-79CFF07191C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All " sheetId="19" r:id="rId1"/>
    <sheet name="Review History" sheetId="20" r:id="rId2"/>
    <sheet name="Dashboard." sheetId="22" r:id="rId3"/>
    <sheet name="Staff - Student" sheetId="14" r:id="rId4"/>
    <sheet name="Current-students" sheetId="25" r:id="rId5"/>
    <sheet name="NEW Students" sheetId="24" r:id="rId6"/>
    <sheet name="Presentation History" sheetId="21" r:id="rId7"/>
    <sheet name="Students Review" sheetId="17" r:id="rId8"/>
    <sheet name="WEEK Back" sheetId="12" r:id="rId9"/>
    <sheet name="July 30" sheetId="2" r:id="rId10"/>
    <sheet name="Aug 15" sheetId="5" r:id="rId11"/>
    <sheet name="Aug 31" sheetId="6" r:id="rId12"/>
    <sheet name="Nov 10" sheetId="7" r:id="rId13"/>
    <sheet name="Dec 31" sheetId="15" r:id="rId14"/>
    <sheet name="presentation" sheetId="16" r:id="rId15"/>
  </sheets>
  <definedNames>
    <definedName name="_xlnm._FilterDatabase" localSheetId="1" hidden="1">'Review History'!$A$1:$O$1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0" l="1"/>
  <c r="D3" i="20"/>
  <c r="D14" i="20"/>
  <c r="M9" i="21" a="1"/>
  <c r="M9" i="21"/>
  <c r="N19" i="22" s="1"/>
  <c r="J2" i="20" a="1"/>
  <c r="J2" i="20"/>
  <c r="F20" i="22"/>
  <c r="JG3" i="14"/>
  <c r="JG4" i="14"/>
  <c r="JG5" i="14"/>
  <c r="JG6" i="14"/>
  <c r="JG7" i="14"/>
  <c r="JG8" i="14"/>
  <c r="JG9" i="14"/>
  <c r="JG10" i="14"/>
  <c r="JG11" i="14"/>
  <c r="JG12" i="14"/>
  <c r="JG13" i="14"/>
  <c r="JG14" i="14"/>
  <c r="JG15" i="14"/>
  <c r="JG16" i="14"/>
  <c r="JG17" i="14"/>
  <c r="JG18" i="14"/>
  <c r="JG19" i="14"/>
  <c r="JG23" i="14"/>
  <c r="JG24" i="14"/>
  <c r="JG25" i="14"/>
  <c r="JG26" i="14"/>
  <c r="JG27" i="14"/>
  <c r="JG28" i="14"/>
  <c r="JG29" i="14"/>
  <c r="JG30" i="14"/>
  <c r="JG31" i="14"/>
  <c r="JG32" i="14"/>
  <c r="JG33" i="14"/>
  <c r="JG34" i="14"/>
  <c r="F23" i="22"/>
  <c r="JG35" i="14"/>
  <c r="JG36" i="14"/>
  <c r="JG37" i="14"/>
  <c r="JG38" i="14"/>
  <c r="JG39" i="14"/>
  <c r="JG42" i="14"/>
  <c r="JG43" i="14"/>
  <c r="JG44" i="14"/>
  <c r="JG45" i="14"/>
  <c r="JG46" i="14"/>
  <c r="JG47" i="14"/>
  <c r="JG48" i="14"/>
  <c r="JG49" i="14"/>
  <c r="JG50" i="14"/>
  <c r="JG51" i="14"/>
  <c r="JG52" i="14"/>
  <c r="JG53" i="14"/>
  <c r="JG54" i="14"/>
  <c r="JG57" i="14"/>
  <c r="JG58" i="14"/>
  <c r="JG59" i="14"/>
  <c r="JG60" i="14"/>
  <c r="JG61" i="14"/>
  <c r="JG62" i="14"/>
  <c r="JG63" i="14"/>
  <c r="JG64" i="14"/>
  <c r="JG65" i="14"/>
  <c r="JG66" i="14"/>
  <c r="JG67" i="14"/>
  <c r="JG68" i="14"/>
  <c r="JG69" i="14"/>
  <c r="JG70" i="14"/>
  <c r="JG71" i="14"/>
  <c r="JG72" i="14"/>
  <c r="JG73" i="14"/>
  <c r="JG74" i="14"/>
  <c r="JG75" i="14"/>
  <c r="JG76" i="14"/>
  <c r="JG77" i="14"/>
  <c r="JG78" i="14"/>
  <c r="JG79" i="14"/>
  <c r="JG80" i="14"/>
  <c r="JG81" i="14"/>
  <c r="JG82" i="14"/>
  <c r="JG83" i="14"/>
  <c r="JG84" i="14"/>
  <c r="JG85" i="14"/>
  <c r="JG86" i="14"/>
  <c r="JG87" i="14"/>
  <c r="JG88" i="14"/>
  <c r="JG89" i="14"/>
  <c r="JG90" i="14"/>
  <c r="JG91" i="14"/>
  <c r="JG92" i="14"/>
  <c r="JG93" i="14"/>
  <c r="JG94" i="14"/>
  <c r="JG95" i="14"/>
  <c r="JG96" i="14"/>
  <c r="JG97" i="14"/>
  <c r="JG98" i="14"/>
  <c r="JG99" i="14"/>
  <c r="JG100" i="14"/>
  <c r="JG101" i="14"/>
  <c r="JG102" i="14"/>
  <c r="JG103" i="14"/>
  <c r="JG104" i="14"/>
  <c r="JG105" i="14"/>
  <c r="JG106" i="14"/>
  <c r="JG107" i="14"/>
  <c r="JG108" i="14"/>
  <c r="JG109" i="14"/>
  <c r="JG110" i="14"/>
  <c r="JG111" i="14"/>
  <c r="JG112" i="14"/>
  <c r="JG113" i="14"/>
  <c r="JG114" i="14"/>
  <c r="JG115" i="14"/>
  <c r="JG116" i="14"/>
  <c r="JG117" i="14"/>
  <c r="JG118" i="14"/>
  <c r="JG119" i="14"/>
  <c r="JG120" i="14"/>
  <c r="JG121" i="14"/>
  <c r="JG122" i="14"/>
  <c r="JG123" i="14"/>
  <c r="JG124" i="14"/>
  <c r="JG125" i="14"/>
  <c r="JG126" i="14"/>
  <c r="JG127" i="14"/>
  <c r="JG128" i="14"/>
  <c r="JG129" i="14"/>
  <c r="JG130" i="14"/>
  <c r="JG131" i="14"/>
  <c r="JG132" i="14"/>
  <c r="JG133" i="14"/>
  <c r="JG134" i="14"/>
  <c r="JG135" i="14"/>
  <c r="JG136" i="14"/>
  <c r="JG137" i="14"/>
  <c r="JG138" i="14"/>
  <c r="JG139" i="14"/>
  <c r="JG140" i="14"/>
  <c r="JG141" i="14"/>
  <c r="JG142" i="14"/>
  <c r="JG143" i="14"/>
  <c r="JG144" i="14"/>
  <c r="JG145" i="14"/>
  <c r="JG146" i="14"/>
  <c r="JG147" i="14"/>
  <c r="JG148" i="14"/>
  <c r="JG149" i="14"/>
  <c r="JG150" i="14"/>
  <c r="JG151" i="14"/>
  <c r="JG152" i="14"/>
  <c r="JG153" i="14"/>
  <c r="JG154" i="14"/>
  <c r="JG155" i="14"/>
  <c r="JG156" i="14"/>
  <c r="JG157" i="14"/>
  <c r="JG158" i="14"/>
  <c r="JG159" i="14"/>
  <c r="JG160" i="14"/>
  <c r="JG161" i="14"/>
  <c r="JG162" i="14"/>
  <c r="JG163" i="14"/>
  <c r="JG164" i="14"/>
  <c r="JG165" i="14"/>
  <c r="JG166" i="14"/>
  <c r="JG167" i="14"/>
  <c r="JG168" i="14"/>
  <c r="JG169" i="14"/>
  <c r="JG170" i="14"/>
  <c r="JG171" i="14"/>
  <c r="JG172" i="14"/>
  <c r="JG173" i="14"/>
  <c r="JG174" i="14"/>
  <c r="JG175" i="14"/>
  <c r="JG176" i="14"/>
  <c r="JG177" i="14"/>
  <c r="JG178" i="14"/>
  <c r="JG179" i="14"/>
  <c r="JG180" i="14"/>
  <c r="JG181" i="14"/>
  <c r="JG182" i="14"/>
  <c r="JG183" i="14"/>
  <c r="JG184" i="14"/>
  <c r="JG185" i="14"/>
  <c r="JG186" i="14"/>
  <c r="JG187" i="14"/>
  <c r="JG188" i="14"/>
  <c r="JG189" i="14"/>
  <c r="JG190" i="14"/>
  <c r="JG191" i="14"/>
  <c r="JG192" i="14"/>
  <c r="JG193" i="14"/>
  <c r="JG194" i="14"/>
  <c r="JG195" i="14"/>
  <c r="JG196" i="14"/>
  <c r="JG197" i="14"/>
  <c r="JG198" i="14"/>
  <c r="JG199" i="14"/>
  <c r="JG200" i="14"/>
  <c r="JG201" i="14"/>
  <c r="JG202" i="14"/>
  <c r="JG203" i="14"/>
  <c r="JG204" i="14"/>
  <c r="JG205" i="14"/>
  <c r="JG206" i="14"/>
  <c r="JG207" i="14"/>
  <c r="JG208" i="14"/>
  <c r="JG209" i="14"/>
  <c r="JG210" i="14"/>
  <c r="JG211" i="14"/>
  <c r="JG212" i="14"/>
  <c r="JG213" i="14"/>
  <c r="JG214" i="14"/>
  <c r="JG215" i="14"/>
  <c r="JG216" i="14"/>
  <c r="JG217" i="14"/>
  <c r="JG218" i="14"/>
  <c r="JG219" i="14"/>
  <c r="JG220" i="14"/>
  <c r="JG221" i="14"/>
  <c r="JG222" i="14"/>
  <c r="JG223" i="14"/>
  <c r="JG224" i="14"/>
  <c r="JG225" i="14"/>
  <c r="JG226" i="14"/>
  <c r="JG227" i="14"/>
  <c r="JG228" i="14"/>
  <c r="JG229" i="14"/>
  <c r="JG230" i="14"/>
  <c r="JG231" i="14"/>
  <c r="JG232" i="14"/>
  <c r="JG233" i="14"/>
  <c r="JG234" i="14"/>
  <c r="JG235" i="14"/>
  <c r="JG236" i="14"/>
  <c r="JG237" i="14"/>
  <c r="JG238" i="14"/>
  <c r="JG239" i="14"/>
  <c r="JG240" i="14"/>
  <c r="JG241" i="14"/>
  <c r="JG242" i="14"/>
  <c r="JG243" i="14"/>
  <c r="JG244" i="14"/>
  <c r="JG245" i="14"/>
  <c r="JG246" i="14"/>
  <c r="JG247" i="14"/>
  <c r="JG248" i="14"/>
  <c r="JG249" i="14"/>
  <c r="JG250" i="14"/>
  <c r="JG251" i="14"/>
  <c r="JG252" i="14"/>
  <c r="JG253" i="14"/>
  <c r="JG254" i="14"/>
  <c r="JG255" i="14"/>
  <c r="JG256" i="14"/>
  <c r="JG257" i="14"/>
  <c r="JG258" i="14"/>
  <c r="JG259" i="14"/>
  <c r="JG260" i="14"/>
  <c r="JG261" i="14"/>
  <c r="JG262" i="14"/>
  <c r="JG263" i="14"/>
  <c r="JG264" i="14"/>
  <c r="JG265" i="14"/>
  <c r="JG266" i="14"/>
  <c r="JG267" i="14"/>
  <c r="JG268" i="14"/>
  <c r="JG269" i="14"/>
  <c r="JG270" i="14"/>
  <c r="JG271" i="14"/>
  <c r="JG272" i="14"/>
  <c r="JG273" i="14"/>
  <c r="JG274" i="14"/>
  <c r="JG275" i="14"/>
  <c r="JG276" i="14"/>
  <c r="JG277" i="14"/>
  <c r="JG278" i="14"/>
  <c r="JG279" i="14"/>
  <c r="JG280" i="14"/>
  <c r="JG281" i="14"/>
  <c r="JG282" i="14"/>
  <c r="JG283" i="14"/>
  <c r="JG284" i="14"/>
  <c r="JG285" i="14"/>
  <c r="JG286" i="14"/>
  <c r="JG287" i="14"/>
  <c r="JG288" i="14"/>
  <c r="JG289" i="14"/>
  <c r="JG290" i="14"/>
  <c r="JG291" i="14"/>
  <c r="JG292" i="14"/>
  <c r="JG293" i="14"/>
  <c r="JG294" i="14"/>
  <c r="JG295" i="14"/>
  <c r="JG296" i="14"/>
  <c r="JG297" i="14"/>
  <c r="JG298" i="14"/>
  <c r="JG299" i="14"/>
  <c r="JG300" i="14"/>
  <c r="JG301" i="14"/>
  <c r="JG302" i="14"/>
  <c r="JG303" i="14"/>
  <c r="JG304" i="14"/>
  <c r="JG305" i="14"/>
  <c r="JG306" i="14"/>
  <c r="JG307" i="14"/>
  <c r="JG308" i="14"/>
  <c r="JG309" i="14"/>
  <c r="JG310" i="14"/>
  <c r="JG311" i="14"/>
  <c r="JG312" i="14"/>
  <c r="JG313" i="14"/>
  <c r="JG314" i="14"/>
  <c r="JG315" i="14"/>
  <c r="JG316" i="14"/>
  <c r="JG317" i="14"/>
  <c r="JG318" i="14"/>
  <c r="JG319" i="14"/>
  <c r="JG320" i="14"/>
  <c r="JG321" i="14"/>
  <c r="JG322" i="14"/>
  <c r="JG323" i="14"/>
  <c r="JG324" i="14"/>
  <c r="JG325" i="14"/>
  <c r="JG326" i="14"/>
  <c r="JG327" i="14"/>
  <c r="JG328" i="14"/>
  <c r="JG329" i="14"/>
  <c r="JG330" i="14"/>
  <c r="JG331" i="14"/>
  <c r="JG332" i="14"/>
  <c r="JG333" i="14"/>
  <c r="JG334" i="14"/>
  <c r="JG335" i="14"/>
  <c r="JG336" i="14"/>
  <c r="JG337" i="14"/>
  <c r="JG338" i="14"/>
  <c r="JG339" i="14"/>
  <c r="JG340" i="14"/>
  <c r="JG341" i="14"/>
  <c r="JG342" i="14"/>
  <c r="JG343" i="14"/>
  <c r="JG344" i="14"/>
  <c r="JG345" i="14"/>
  <c r="JG346" i="14"/>
  <c r="JG347" i="14"/>
  <c r="JG348" i="14"/>
  <c r="JG349" i="14"/>
  <c r="JG350" i="14"/>
  <c r="JG351" i="14"/>
  <c r="JG352" i="14"/>
  <c r="JG353" i="14"/>
  <c r="JG354" i="14"/>
  <c r="JG355" i="14"/>
  <c r="JG356" i="14"/>
  <c r="JG357" i="14"/>
  <c r="JG358" i="14"/>
  <c r="JG359" i="14"/>
  <c r="JG360" i="14"/>
  <c r="JG361" i="14"/>
  <c r="JG362" i="14"/>
  <c r="JG363" i="14"/>
  <c r="JG364" i="14"/>
  <c r="JG365" i="14"/>
  <c r="JG366" i="14"/>
  <c r="JG367" i="14"/>
  <c r="JG368" i="14"/>
  <c r="JG369" i="14"/>
  <c r="JG370" i="14"/>
  <c r="JG371" i="14"/>
  <c r="JG372" i="14"/>
  <c r="JG373" i="14"/>
  <c r="JG374" i="14"/>
  <c r="JG375" i="14"/>
  <c r="JG376" i="14"/>
  <c r="JG377" i="14"/>
  <c r="JG378" i="14"/>
  <c r="JG379" i="14"/>
  <c r="JG380" i="14"/>
  <c r="JG381" i="14"/>
  <c r="JG382" i="14"/>
  <c r="JG383" i="14"/>
  <c r="JG384" i="14"/>
  <c r="JG385" i="14"/>
  <c r="JG386" i="14"/>
  <c r="JG387" i="14"/>
  <c r="JG388" i="14"/>
  <c r="JG389" i="14"/>
  <c r="JG390" i="14"/>
  <c r="JG391" i="14"/>
  <c r="JG392" i="14"/>
  <c r="JG393" i="14"/>
  <c r="JG394" i="14"/>
  <c r="JG395" i="14"/>
  <c r="JG396" i="14"/>
  <c r="JG397" i="14"/>
  <c r="JG398" i="14"/>
  <c r="JG399" i="14"/>
  <c r="JG400" i="14"/>
  <c r="JG401" i="14"/>
  <c r="JG402" i="14"/>
  <c r="JG403" i="14"/>
  <c r="JG404" i="14"/>
  <c r="JG405" i="14"/>
  <c r="JG406" i="14"/>
  <c r="JG407" i="14"/>
  <c r="JG408" i="14"/>
  <c r="JG409" i="14"/>
  <c r="JG410" i="14"/>
  <c r="JG411" i="14"/>
  <c r="JG412" i="14"/>
  <c r="JG413" i="14"/>
  <c r="JG414" i="14"/>
  <c r="JG415" i="14"/>
  <c r="JG416" i="14"/>
  <c r="JG417" i="14"/>
  <c r="JG418" i="14"/>
  <c r="JG419" i="14"/>
  <c r="JG420" i="14"/>
  <c r="JG421" i="14"/>
  <c r="JG422" i="14"/>
  <c r="JG423" i="14"/>
  <c r="JG424" i="14"/>
  <c r="JG425" i="14"/>
  <c r="JG426" i="14"/>
  <c r="JG427" i="14"/>
  <c r="JG428" i="14"/>
  <c r="JG429" i="14"/>
  <c r="JG430" i="14"/>
  <c r="JG431" i="14"/>
  <c r="JG432" i="14"/>
  <c r="JG433" i="14"/>
  <c r="JG434" i="14"/>
  <c r="JG435" i="14"/>
  <c r="JG436" i="14"/>
  <c r="JG437" i="14"/>
  <c r="JG438" i="14"/>
  <c r="JG439" i="14"/>
  <c r="JG440" i="14"/>
  <c r="JG441" i="14"/>
  <c r="JG442" i="14"/>
  <c r="JG443" i="14"/>
  <c r="JG444" i="14"/>
  <c r="JG445" i="14"/>
  <c r="JG446" i="14"/>
  <c r="JG447" i="14"/>
  <c r="JG448" i="14"/>
  <c r="JG449" i="14"/>
  <c r="JG450" i="14"/>
  <c r="JG451" i="14"/>
  <c r="JG452" i="14"/>
  <c r="JG453" i="14"/>
  <c r="JG454" i="14"/>
  <c r="JG455" i="14"/>
  <c r="JG456" i="14"/>
  <c r="JG457" i="14"/>
  <c r="JG458" i="14"/>
  <c r="JG459" i="14"/>
  <c r="JG460" i="14"/>
  <c r="JG461" i="14"/>
  <c r="JG462" i="14"/>
  <c r="JG463" i="14"/>
  <c r="JG464" i="14"/>
  <c r="JG465" i="14"/>
  <c r="JF3" i="14"/>
  <c r="JF4" i="14"/>
  <c r="JF5" i="14"/>
  <c r="JF6" i="14"/>
  <c r="JF7" i="14"/>
  <c r="JF8" i="14"/>
  <c r="JF9" i="14"/>
  <c r="JF10" i="14"/>
  <c r="JF11" i="14"/>
  <c r="JF12" i="14"/>
  <c r="JF13" i="14"/>
  <c r="JF14" i="14"/>
  <c r="JF15" i="14"/>
  <c r="JF16" i="14"/>
  <c r="JF17" i="14"/>
  <c r="JF18" i="14"/>
  <c r="JF19" i="14"/>
  <c r="JF23" i="14"/>
  <c r="JF24" i="14"/>
  <c r="JF25" i="14"/>
  <c r="JF26" i="14"/>
  <c r="JF27" i="14"/>
  <c r="JF28" i="14"/>
  <c r="JF29" i="14"/>
  <c r="JF30" i="14"/>
  <c r="JF31" i="14"/>
  <c r="JF32" i="14"/>
  <c r="JF33" i="14"/>
  <c r="JF34" i="14"/>
  <c r="F22" i="22"/>
  <c r="JF35" i="14"/>
  <c r="JF36" i="14"/>
  <c r="JF37" i="14"/>
  <c r="JF38" i="14"/>
  <c r="JF39" i="14"/>
  <c r="JF42" i="14"/>
  <c r="JF43" i="14"/>
  <c r="JF44" i="14"/>
  <c r="JF45" i="14"/>
  <c r="JF46" i="14"/>
  <c r="JF47" i="14"/>
  <c r="JF48" i="14"/>
  <c r="JF49" i="14"/>
  <c r="JF50" i="14"/>
  <c r="JF51" i="14"/>
  <c r="JF52" i="14"/>
  <c r="JF53" i="14"/>
  <c r="JF54" i="14"/>
  <c r="JF57" i="14"/>
  <c r="JF58" i="14"/>
  <c r="JF59" i="14"/>
  <c r="JF60" i="14"/>
  <c r="JF61" i="14"/>
  <c r="JF62" i="14"/>
  <c r="JF63" i="14"/>
  <c r="JF64" i="14"/>
  <c r="JF65" i="14"/>
  <c r="JF66" i="14"/>
  <c r="JF67" i="14"/>
  <c r="JF68" i="14"/>
  <c r="JF69" i="14"/>
  <c r="JF70" i="14"/>
  <c r="JF71" i="14"/>
  <c r="JF72" i="14"/>
  <c r="JF73" i="14"/>
  <c r="JF74" i="14"/>
  <c r="JF75" i="14"/>
  <c r="JF76" i="14"/>
  <c r="JF77" i="14"/>
  <c r="JF78" i="14"/>
  <c r="JF79" i="14"/>
  <c r="JF80" i="14"/>
  <c r="JF81" i="14"/>
  <c r="JF82" i="14"/>
  <c r="JF83" i="14"/>
  <c r="JF84" i="14"/>
  <c r="JF85" i="14"/>
  <c r="JF86" i="14"/>
  <c r="JF87" i="14"/>
  <c r="JF88" i="14"/>
  <c r="JF89" i="14"/>
  <c r="JF90" i="14"/>
  <c r="JF91" i="14"/>
  <c r="JF92" i="14"/>
  <c r="JF93" i="14"/>
  <c r="JF94" i="14"/>
  <c r="JF95" i="14"/>
  <c r="JF96" i="14"/>
  <c r="JF97" i="14"/>
  <c r="JF98" i="14"/>
  <c r="JF99" i="14"/>
  <c r="JF100" i="14"/>
  <c r="JF101" i="14"/>
  <c r="JF102" i="14"/>
  <c r="JF103" i="14"/>
  <c r="JF104" i="14"/>
  <c r="JF105" i="14"/>
  <c r="JF106" i="14"/>
  <c r="JF107" i="14"/>
  <c r="JF108" i="14"/>
  <c r="JF109" i="14"/>
  <c r="JF110" i="14"/>
  <c r="JF111" i="14"/>
  <c r="JF112" i="14"/>
  <c r="JF113" i="14"/>
  <c r="JF114" i="14"/>
  <c r="JF115" i="14"/>
  <c r="JF116" i="14"/>
  <c r="JF117" i="14"/>
  <c r="JF118" i="14"/>
  <c r="JF119" i="14"/>
  <c r="JF120" i="14"/>
  <c r="JF121" i="14"/>
  <c r="JF122" i="14"/>
  <c r="JF123" i="14"/>
  <c r="JF124" i="14"/>
  <c r="JF125" i="14"/>
  <c r="JF126" i="14"/>
  <c r="JF127" i="14"/>
  <c r="JF128" i="14"/>
  <c r="JF129" i="14"/>
  <c r="JF130" i="14"/>
  <c r="JF131" i="14"/>
  <c r="JF132" i="14"/>
  <c r="JF133" i="14"/>
  <c r="JF134" i="14"/>
  <c r="JF135" i="14"/>
  <c r="JF136" i="14"/>
  <c r="JF137" i="14"/>
  <c r="JF138" i="14"/>
  <c r="JF139" i="14"/>
  <c r="JF140" i="14"/>
  <c r="JF141" i="14"/>
  <c r="JF142" i="14"/>
  <c r="JF143" i="14"/>
  <c r="JF144" i="14"/>
  <c r="JF145" i="14"/>
  <c r="JF146" i="14"/>
  <c r="JF147" i="14"/>
  <c r="JF148" i="14"/>
  <c r="JF149" i="14"/>
  <c r="JF150" i="14"/>
  <c r="JF151" i="14"/>
  <c r="JF152" i="14"/>
  <c r="JF153" i="14"/>
  <c r="JF154" i="14"/>
  <c r="JF155" i="14"/>
  <c r="JF156" i="14"/>
  <c r="JF157" i="14"/>
  <c r="JF158" i="14"/>
  <c r="JF159" i="14"/>
  <c r="JF160" i="14"/>
  <c r="JF161" i="14"/>
  <c r="JF162" i="14"/>
  <c r="JF163" i="14"/>
  <c r="JF164" i="14"/>
  <c r="JF165" i="14"/>
  <c r="JF166" i="14"/>
  <c r="JF167" i="14"/>
  <c r="JF168" i="14"/>
  <c r="JF169" i="14"/>
  <c r="JF170" i="14"/>
  <c r="JF171" i="14"/>
  <c r="JF172" i="14"/>
  <c r="JF173" i="14"/>
  <c r="JF174" i="14"/>
  <c r="JF175" i="14"/>
  <c r="JF176" i="14"/>
  <c r="JF177" i="14"/>
  <c r="JF178" i="14"/>
  <c r="JF179" i="14"/>
  <c r="JF180" i="14"/>
  <c r="JF181" i="14"/>
  <c r="JF182" i="14"/>
  <c r="JF183" i="14"/>
  <c r="JF184" i="14"/>
  <c r="JF185" i="14"/>
  <c r="JF186" i="14"/>
  <c r="JF187" i="14"/>
  <c r="JF188" i="14"/>
  <c r="JF189" i="14"/>
  <c r="JF190" i="14"/>
  <c r="JF191" i="14"/>
  <c r="JF192" i="14"/>
  <c r="JF193" i="14"/>
  <c r="JF194" i="14"/>
  <c r="JF195" i="14"/>
  <c r="JF196" i="14"/>
  <c r="JF197" i="14"/>
  <c r="JF198" i="14"/>
  <c r="JF199" i="14"/>
  <c r="JF200" i="14"/>
  <c r="JF201" i="14"/>
  <c r="JF202" i="14"/>
  <c r="JF203" i="14"/>
  <c r="JF204" i="14"/>
  <c r="JF205" i="14"/>
  <c r="JF206" i="14"/>
  <c r="JF207" i="14"/>
  <c r="JF208" i="14"/>
  <c r="JF209" i="14"/>
  <c r="JF210" i="14"/>
  <c r="JF211" i="14"/>
  <c r="JF212" i="14"/>
  <c r="JF213" i="14"/>
  <c r="JF214" i="14"/>
  <c r="JF215" i="14"/>
  <c r="JF216" i="14"/>
  <c r="JF217" i="14"/>
  <c r="JF218" i="14"/>
  <c r="JF219" i="14"/>
  <c r="JF220" i="14"/>
  <c r="JF221" i="14"/>
  <c r="JF222" i="14"/>
  <c r="JF223" i="14"/>
  <c r="JF224" i="14"/>
  <c r="JF225" i="14"/>
  <c r="JF226" i="14"/>
  <c r="JF227" i="14"/>
  <c r="JF228" i="14"/>
  <c r="JF229" i="14"/>
  <c r="JF230" i="14"/>
  <c r="JF231" i="14"/>
  <c r="JF232" i="14"/>
  <c r="JF233" i="14"/>
  <c r="JF234" i="14"/>
  <c r="JF235" i="14"/>
  <c r="JF236" i="14"/>
  <c r="JF237" i="14"/>
  <c r="JF238" i="14"/>
  <c r="JF239" i="14"/>
  <c r="JF240" i="14"/>
  <c r="JF241" i="14"/>
  <c r="JF242" i="14"/>
  <c r="JF243" i="14"/>
  <c r="JF244" i="14"/>
  <c r="JF245" i="14"/>
  <c r="JF246" i="14"/>
  <c r="JF247" i="14"/>
  <c r="JF248" i="14"/>
  <c r="JF249" i="14"/>
  <c r="JF250" i="14"/>
  <c r="JF251" i="14"/>
  <c r="JF252" i="14"/>
  <c r="JF253" i="14"/>
  <c r="JF254" i="14"/>
  <c r="JF255" i="14"/>
  <c r="JF256" i="14"/>
  <c r="JF257" i="14"/>
  <c r="JF258" i="14"/>
  <c r="JF259" i="14"/>
  <c r="JF260" i="14"/>
  <c r="JF261" i="14"/>
  <c r="JF262" i="14"/>
  <c r="JF263" i="14"/>
  <c r="JF264" i="14"/>
  <c r="JF265" i="14"/>
  <c r="JF266" i="14"/>
  <c r="JF267" i="14"/>
  <c r="JF268" i="14"/>
  <c r="JF269" i="14"/>
  <c r="JF270" i="14"/>
  <c r="JF271" i="14"/>
  <c r="JF272" i="14"/>
  <c r="JF273" i="14"/>
  <c r="JF274" i="14"/>
  <c r="JF275" i="14"/>
  <c r="JF276" i="14"/>
  <c r="JF277" i="14"/>
  <c r="JF278" i="14"/>
  <c r="JF279" i="14"/>
  <c r="JF280" i="14"/>
  <c r="JF281" i="14"/>
  <c r="JF282" i="14"/>
  <c r="JF283" i="14"/>
  <c r="JF284" i="14"/>
  <c r="JF285" i="14"/>
  <c r="JF286" i="14"/>
  <c r="JF287" i="14"/>
  <c r="JF288" i="14"/>
  <c r="JF289" i="14"/>
  <c r="JF290" i="14"/>
  <c r="JF291" i="14"/>
  <c r="JF292" i="14"/>
  <c r="JF293" i="14"/>
  <c r="JF294" i="14"/>
  <c r="JF295" i="14"/>
  <c r="JF296" i="14"/>
  <c r="JF297" i="14"/>
  <c r="JF298" i="14"/>
  <c r="JF299" i="14"/>
  <c r="JF300" i="14"/>
  <c r="JF301" i="14"/>
  <c r="JF302" i="14"/>
  <c r="JF303" i="14"/>
  <c r="JF304" i="14"/>
  <c r="JF305" i="14"/>
  <c r="JF306" i="14"/>
  <c r="JF307" i="14"/>
  <c r="JF308" i="14"/>
  <c r="JF309" i="14"/>
  <c r="JF310" i="14"/>
  <c r="JF311" i="14"/>
  <c r="JF312" i="14"/>
  <c r="JF313" i="14"/>
  <c r="JF314" i="14"/>
  <c r="JF315" i="14"/>
  <c r="JF316" i="14"/>
  <c r="JF317" i="14"/>
  <c r="JF318" i="14"/>
  <c r="JF319" i="14"/>
  <c r="JF320" i="14"/>
  <c r="JF321" i="14"/>
  <c r="JF322" i="14"/>
  <c r="JF323" i="14"/>
  <c r="JF324" i="14"/>
  <c r="JF325" i="14"/>
  <c r="JF326" i="14"/>
  <c r="JF327" i="14"/>
  <c r="JF328" i="14"/>
  <c r="JF329" i="14"/>
  <c r="JF330" i="14"/>
  <c r="JF331" i="14"/>
  <c r="JF332" i="14"/>
  <c r="JF333" i="14"/>
  <c r="JF334" i="14"/>
  <c r="JF335" i="14"/>
  <c r="JF336" i="14"/>
  <c r="JF337" i="14"/>
  <c r="JF338" i="14"/>
  <c r="JF339" i="14"/>
  <c r="JF340" i="14"/>
  <c r="JF341" i="14"/>
  <c r="JF342" i="14"/>
  <c r="JF343" i="14"/>
  <c r="JF344" i="14"/>
  <c r="JF345" i="14"/>
  <c r="JF346" i="14"/>
  <c r="JF347" i="14"/>
  <c r="JF348" i="14"/>
  <c r="JF349" i="14"/>
  <c r="JF350" i="14"/>
  <c r="JF351" i="14"/>
  <c r="JF352" i="14"/>
  <c r="JF353" i="14"/>
  <c r="JF354" i="14"/>
  <c r="JF355" i="14"/>
  <c r="JF356" i="14"/>
  <c r="JF357" i="14"/>
  <c r="JF358" i="14"/>
  <c r="JF359" i="14"/>
  <c r="JF360" i="14"/>
  <c r="JF361" i="14"/>
  <c r="JF362" i="14"/>
  <c r="JF363" i="14"/>
  <c r="JF364" i="14"/>
  <c r="JF365" i="14"/>
  <c r="JF366" i="14"/>
  <c r="JF367" i="14"/>
  <c r="JF368" i="14"/>
  <c r="JF369" i="14"/>
  <c r="JF370" i="14"/>
  <c r="JF371" i="14"/>
  <c r="JF372" i="14"/>
  <c r="JF373" i="14"/>
  <c r="JF374" i="14"/>
  <c r="JF375" i="14"/>
  <c r="JF376" i="14"/>
  <c r="JF377" i="14"/>
  <c r="JF378" i="14"/>
  <c r="JF379" i="14"/>
  <c r="JF380" i="14"/>
  <c r="JF381" i="14"/>
  <c r="JF382" i="14"/>
  <c r="JF383" i="14"/>
  <c r="JF384" i="14"/>
  <c r="JF385" i="14"/>
  <c r="JF386" i="14"/>
  <c r="JF387" i="14"/>
  <c r="JF388" i="14"/>
  <c r="JF389" i="14"/>
  <c r="JF390" i="14"/>
  <c r="JF391" i="14"/>
  <c r="JF392" i="14"/>
  <c r="JF393" i="14"/>
  <c r="JF394" i="14"/>
  <c r="JF395" i="14"/>
  <c r="JF396" i="14"/>
  <c r="JF397" i="14"/>
  <c r="JF398" i="14"/>
  <c r="JF399" i="14"/>
  <c r="JF400" i="14"/>
  <c r="JF401" i="14"/>
  <c r="JF402" i="14"/>
  <c r="JF403" i="14"/>
  <c r="JF404" i="14"/>
  <c r="JF405" i="14"/>
  <c r="JF406" i="14"/>
  <c r="JF407" i="14"/>
  <c r="JF408" i="14"/>
  <c r="JF409" i="14"/>
  <c r="JF410" i="14"/>
  <c r="JF411" i="14"/>
  <c r="JF412" i="14"/>
  <c r="JF413" i="14"/>
  <c r="JF414" i="14"/>
  <c r="JF415" i="14"/>
  <c r="JF416" i="14"/>
  <c r="JF417" i="14"/>
  <c r="JF418" i="14"/>
  <c r="JF419" i="14"/>
  <c r="JF420" i="14"/>
  <c r="JF421" i="14"/>
  <c r="JF422" i="14"/>
  <c r="JF423" i="14"/>
  <c r="JF424" i="14"/>
  <c r="JF425" i="14"/>
  <c r="JF426" i="14"/>
  <c r="JF427" i="14"/>
  <c r="JF428" i="14"/>
  <c r="JF429" i="14"/>
  <c r="JF430" i="14"/>
  <c r="JF431" i="14"/>
  <c r="JF432" i="14"/>
  <c r="JF433" i="14"/>
  <c r="JF434" i="14"/>
  <c r="JF435" i="14"/>
  <c r="JF436" i="14"/>
  <c r="JF437" i="14"/>
  <c r="JF438" i="14"/>
  <c r="JF439" i="14"/>
  <c r="JF440" i="14"/>
  <c r="JF441" i="14"/>
  <c r="JF442" i="14"/>
  <c r="JF443" i="14"/>
  <c r="JF444" i="14"/>
  <c r="JF445" i="14"/>
  <c r="JF446" i="14"/>
  <c r="JF447" i="14"/>
  <c r="JF448" i="14"/>
  <c r="JF449" i="14"/>
  <c r="JF450" i="14"/>
  <c r="JF451" i="14"/>
  <c r="JF452" i="14"/>
  <c r="JF453" i="14"/>
  <c r="JF454" i="14"/>
  <c r="JF455" i="14"/>
  <c r="JG2" i="14"/>
  <c r="JF2" i="14"/>
  <c r="N22" i="22" a="1"/>
  <c r="N22" i="22"/>
  <c r="N20" i="22" a="1"/>
  <c r="N20" i="22"/>
  <c r="N23" i="22" a="1"/>
  <c r="N23" i="22"/>
  <c r="N16" i="22"/>
  <c r="N11" i="22"/>
  <c r="F16" i="22"/>
  <c r="F15" i="22"/>
  <c r="F14" i="22"/>
  <c r="F13" i="22"/>
  <c r="F12" i="22"/>
  <c r="F11" i="22"/>
  <c r="H7" i="22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79" i="21"/>
  <c r="A380" i="21"/>
  <c r="A381" i="21"/>
  <c r="A382" i="21"/>
  <c r="A383" i="21"/>
  <c r="A384" i="21"/>
  <c r="A385" i="21"/>
  <c r="A386" i="21"/>
  <c r="A387" i="21"/>
  <c r="A388" i="21"/>
  <c r="A389" i="21"/>
  <c r="A390" i="21"/>
  <c r="A391" i="21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413" i="21"/>
  <c r="A414" i="21"/>
  <c r="A415" i="21"/>
  <c r="A416" i="21"/>
  <c r="A417" i="21"/>
  <c r="A418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7" i="21"/>
  <c r="JE528" i="14"/>
  <c r="JE529" i="14"/>
  <c r="JE530" i="14"/>
  <c r="JE531" i="14"/>
  <c r="JE532" i="14"/>
  <c r="JE533" i="14"/>
  <c r="JE534" i="14"/>
  <c r="JE535" i="14"/>
  <c r="JE536" i="14"/>
  <c r="JE537" i="14"/>
  <c r="JE538" i="14"/>
  <c r="JE539" i="14"/>
  <c r="JE540" i="14"/>
  <c r="JE541" i="14"/>
  <c r="JE542" i="14"/>
  <c r="JE543" i="14"/>
  <c r="JE544" i="14"/>
  <c r="JE545" i="14"/>
  <c r="I7" i="19"/>
  <c r="A89" i="20"/>
  <c r="C89" i="20"/>
  <c r="C90" i="20"/>
  <c r="C91" i="20"/>
  <c r="A90" i="20"/>
  <c r="A91" i="20"/>
  <c r="D33" i="20"/>
  <c r="D28" i="20"/>
  <c r="D29" i="20"/>
  <c r="D30" i="20"/>
  <c r="D31" i="20"/>
  <c r="D32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4" i="20"/>
  <c r="D5" i="20"/>
  <c r="D6" i="20"/>
  <c r="D8" i="20"/>
  <c r="D9" i="20"/>
  <c r="D10" i="20"/>
  <c r="D11" i="20"/>
  <c r="D12" i="20"/>
  <c r="D13" i="20"/>
  <c r="D15" i="20"/>
  <c r="A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2" i="16"/>
  <c r="C92" i="20"/>
  <c r="C93" i="20"/>
  <c r="C94" i="20"/>
  <c r="C95" i="20"/>
  <c r="C96" i="20"/>
  <c r="C97" i="20"/>
  <c r="C98" i="20"/>
  <c r="C99" i="20"/>
  <c r="C100" i="20"/>
  <c r="A78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A298" i="20"/>
  <c r="A299" i="20"/>
  <c r="A300" i="20"/>
  <c r="A301" i="20"/>
  <c r="A302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A324" i="20"/>
  <c r="A325" i="20"/>
  <c r="A326" i="20"/>
  <c r="A327" i="20"/>
  <c r="A328" i="20"/>
  <c r="A329" i="20"/>
  <c r="A330" i="20"/>
  <c r="A331" i="20"/>
  <c r="A332" i="20"/>
  <c r="A333" i="20"/>
  <c r="A334" i="20"/>
  <c r="A335" i="20"/>
  <c r="A336" i="20"/>
  <c r="A337" i="20"/>
  <c r="A338" i="20"/>
  <c r="A339" i="20"/>
  <c r="A340" i="20"/>
  <c r="A341" i="20"/>
  <c r="A342" i="20"/>
  <c r="A343" i="20"/>
  <c r="A344" i="20"/>
  <c r="A345" i="20"/>
  <c r="A346" i="20"/>
  <c r="A347" i="20"/>
  <c r="A348" i="20"/>
  <c r="A349" i="20"/>
  <c r="A350" i="20"/>
  <c r="A351" i="20"/>
  <c r="A352" i="20"/>
  <c r="A353" i="20"/>
  <c r="A354" i="20"/>
  <c r="A355" i="20"/>
  <c r="A356" i="20"/>
  <c r="A357" i="20"/>
  <c r="A358" i="20"/>
  <c r="A359" i="20"/>
  <c r="A360" i="20"/>
  <c r="A361" i="20"/>
  <c r="A362" i="20"/>
  <c r="A363" i="20"/>
  <c r="A364" i="20"/>
  <c r="A365" i="20"/>
  <c r="A366" i="20"/>
  <c r="A367" i="20"/>
  <c r="A368" i="20"/>
  <c r="A369" i="20"/>
  <c r="A370" i="20"/>
  <c r="A371" i="20"/>
  <c r="A372" i="20"/>
  <c r="A373" i="20"/>
  <c r="A374" i="20"/>
  <c r="A375" i="20"/>
  <c r="A376" i="20"/>
  <c r="A377" i="20"/>
  <c r="A378" i="20"/>
  <c r="A379" i="20"/>
  <c r="A380" i="20"/>
  <c r="A381" i="20"/>
  <c r="A382" i="20"/>
  <c r="A383" i="20"/>
  <c r="A384" i="20"/>
  <c r="A385" i="20"/>
  <c r="A386" i="20"/>
  <c r="A387" i="20"/>
  <c r="A388" i="20"/>
  <c r="A389" i="20"/>
  <c r="A390" i="20"/>
  <c r="A391" i="20"/>
  <c r="A392" i="20"/>
  <c r="A393" i="20"/>
  <c r="A394" i="20"/>
  <c r="A395" i="20"/>
  <c r="A396" i="20"/>
  <c r="A397" i="20"/>
  <c r="A398" i="20"/>
  <c r="A399" i="20"/>
  <c r="A400" i="20"/>
  <c r="A401" i="20"/>
  <c r="A40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27" i="20"/>
  <c r="A428" i="20"/>
  <c r="A429" i="20"/>
  <c r="A430" i="20"/>
  <c r="A431" i="20"/>
  <c r="A432" i="20"/>
  <c r="A433" i="20"/>
  <c r="A434" i="20"/>
  <c r="A435" i="20"/>
  <c r="A436" i="20"/>
  <c r="A437" i="20"/>
  <c r="A438" i="20"/>
  <c r="A439" i="20"/>
  <c r="A440" i="20"/>
  <c r="A44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A454" i="20"/>
  <c r="A455" i="20"/>
  <c r="A456" i="20"/>
  <c r="A457" i="20"/>
  <c r="A458" i="20"/>
  <c r="A459" i="20"/>
  <c r="A460" i="20"/>
  <c r="A461" i="20"/>
  <c r="A462" i="20"/>
  <c r="A463" i="20"/>
  <c r="A464" i="20"/>
  <c r="A465" i="20"/>
  <c r="A466" i="20"/>
  <c r="A467" i="20"/>
  <c r="A468" i="20"/>
  <c r="A469" i="20"/>
  <c r="A470" i="20"/>
  <c r="A471" i="20"/>
  <c r="A472" i="20"/>
  <c r="A473" i="20"/>
  <c r="A474" i="20"/>
  <c r="A475" i="20"/>
  <c r="A476" i="20"/>
  <c r="A477" i="20"/>
  <c r="A478" i="20"/>
  <c r="A479" i="20"/>
  <c r="A48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A493" i="20"/>
  <c r="A494" i="20"/>
  <c r="A495" i="20"/>
  <c r="A496" i="20"/>
  <c r="A497" i="20"/>
  <c r="A498" i="20"/>
  <c r="A499" i="20"/>
  <c r="A500" i="20"/>
  <c r="A501" i="20"/>
  <c r="A502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C76" i="20"/>
  <c r="C64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155" i="20"/>
  <c r="G156" i="20"/>
  <c r="G157" i="20"/>
  <c r="G158" i="20"/>
  <c r="G159" i="20"/>
  <c r="G160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64" i="20"/>
  <c r="G40" i="20"/>
  <c r="G78" i="20"/>
  <c r="G65" i="20"/>
  <c r="G41" i="20"/>
  <c r="G42" i="20"/>
  <c r="G43" i="20"/>
  <c r="G66" i="20"/>
  <c r="G67" i="20"/>
  <c r="G44" i="20"/>
  <c r="G68" i="20"/>
  <c r="G69" i="20"/>
  <c r="G79" i="20"/>
  <c r="G80" i="20"/>
  <c r="G81" i="20"/>
  <c r="G70" i="20"/>
  <c r="G82" i="20"/>
  <c r="G71" i="20"/>
  <c r="G72" i="20"/>
  <c r="G83" i="20"/>
  <c r="G84" i="20"/>
  <c r="G85" i="20"/>
  <c r="G86" i="20"/>
  <c r="G87" i="20"/>
  <c r="G88" i="20"/>
  <c r="G45" i="20"/>
  <c r="G73" i="20"/>
  <c r="G74" i="20"/>
  <c r="G75" i="20"/>
  <c r="G76" i="20"/>
  <c r="G89" i="20"/>
  <c r="G46" i="20"/>
  <c r="G77" i="20"/>
  <c r="G47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48" i="20"/>
  <c r="G49" i="20"/>
  <c r="G50" i="20"/>
  <c r="G51" i="20"/>
  <c r="G52" i="20"/>
  <c r="G34" i="20"/>
  <c r="G35" i="20"/>
  <c r="G53" i="20"/>
  <c r="G36" i="20"/>
  <c r="G54" i="20"/>
  <c r="G55" i="20"/>
  <c r="G56" i="20"/>
  <c r="G57" i="20"/>
  <c r="G58" i="20"/>
  <c r="G59" i="20"/>
  <c r="G60" i="20"/>
  <c r="G61" i="20"/>
  <c r="G62" i="20"/>
  <c r="G37" i="20"/>
  <c r="G38" i="20"/>
  <c r="G39" i="20"/>
  <c r="G63" i="20"/>
  <c r="G2" i="20"/>
  <c r="C40" i="20"/>
  <c r="C78" i="20"/>
  <c r="C41" i="20"/>
  <c r="C42" i="20"/>
  <c r="C43" i="20"/>
  <c r="C66" i="20"/>
  <c r="C67" i="20"/>
  <c r="C44" i="20"/>
  <c r="C68" i="20"/>
  <c r="C69" i="20"/>
  <c r="C79" i="20"/>
  <c r="C80" i="20"/>
  <c r="C81" i="20"/>
  <c r="C70" i="20"/>
  <c r="C82" i="20"/>
  <c r="C71" i="20"/>
  <c r="C72" i="20"/>
  <c r="C83" i="20"/>
  <c r="C84" i="20"/>
  <c r="C85" i="20"/>
  <c r="C86" i="20"/>
  <c r="C87" i="20"/>
  <c r="C88" i="20"/>
  <c r="C45" i="20"/>
  <c r="C73" i="20"/>
  <c r="C74" i="20"/>
  <c r="C75" i="20"/>
  <c r="C46" i="20"/>
  <c r="C77" i="20"/>
  <c r="C47" i="20"/>
  <c r="A79" i="20"/>
  <c r="A80" i="20"/>
  <c r="A81" i="20"/>
  <c r="A82" i="20"/>
  <c r="A83" i="20"/>
  <c r="A84" i="20"/>
  <c r="A85" i="20"/>
  <c r="A86" i="20"/>
  <c r="A87" i="20"/>
  <c r="A88" i="20"/>
  <c r="A74" i="20"/>
  <c r="A75" i="20"/>
  <c r="A76" i="20"/>
  <c r="A77" i="20"/>
  <c r="C65" i="20"/>
  <c r="JI2" i="14"/>
  <c r="F21" i="22"/>
  <c r="N13" i="22" l="1" a="1"/>
  <c r="N13" i="22" s="1"/>
  <c r="N14" i="22" s="1" a="1"/>
  <c r="N14" i="22" s="1"/>
  <c r="N15" i="2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<sst xmlns="http://schemas.openxmlformats.org/spreadsheetml/2006/main" count="3679" uniqueCount="579">
  <si>
    <t>Std ID</t>
  </si>
  <si>
    <t>Name</t>
  </si>
  <si>
    <t>Course Name</t>
  </si>
  <si>
    <t>Current Topic</t>
  </si>
  <si>
    <t>Progress</t>
  </si>
  <si>
    <t>beginning date</t>
  </si>
  <si>
    <t>Validity</t>
  </si>
  <si>
    <t>Staff</t>
  </si>
  <si>
    <t>Presentation</t>
  </si>
  <si>
    <t>Date</t>
  </si>
  <si>
    <t>Status</t>
  </si>
  <si>
    <t>TDAM001</t>
  </si>
  <si>
    <t>Ameesha</t>
  </si>
  <si>
    <t>MERN</t>
  </si>
  <si>
    <t>Django</t>
  </si>
  <si>
    <t>Authentication</t>
  </si>
  <si>
    <t>Abin Raj</t>
  </si>
  <si>
    <t>Virtual Reality and Augmented Reality</t>
  </si>
  <si>
    <t xml:space="preserve">
</t>
  </si>
  <si>
    <t>TDAM002</t>
  </si>
  <si>
    <t>Rahees PK</t>
  </si>
  <si>
    <t>Completed</t>
  </si>
  <si>
    <t>interceptor</t>
  </si>
  <si>
    <t>Ameer</t>
  </si>
  <si>
    <t>Robotics and Automation</t>
  </si>
  <si>
    <t>TDAM003</t>
  </si>
  <si>
    <t xml:space="preserve">Hisham </t>
  </si>
  <si>
    <t>MongoDB</t>
  </si>
  <si>
    <t>Cloud Computing and Its Benefits</t>
  </si>
  <si>
    <t>Done</t>
  </si>
  <si>
    <t>TDAM004</t>
  </si>
  <si>
    <t>Harshal</t>
  </si>
  <si>
    <t>Internet of Things: Smart Devices Around Us</t>
  </si>
  <si>
    <t>TDAM005</t>
  </si>
  <si>
    <t>M. Danish</t>
  </si>
  <si>
    <t>mongodb</t>
  </si>
  <si>
    <t>start</t>
  </si>
  <si>
    <t>Artificial Intelligence in Healthcare</t>
  </si>
  <si>
    <t>TDAM006</t>
  </si>
  <si>
    <t>M. Safeer</t>
  </si>
  <si>
    <t>react</t>
  </si>
  <si>
    <t>TDAM007</t>
  </si>
  <si>
    <t>Nibrasul Haqu C</t>
  </si>
  <si>
    <t>React</t>
  </si>
  <si>
    <t>intro</t>
  </si>
  <si>
    <t>Zustand, File Upload</t>
  </si>
  <si>
    <t>TDAM008</t>
  </si>
  <si>
    <t>Aswin KC</t>
  </si>
  <si>
    <t>CSS</t>
  </si>
  <si>
    <t>Clone</t>
  </si>
  <si>
    <t>Blockchain Technology and Cryptocurrency</t>
  </si>
  <si>
    <t>TDAM009</t>
  </si>
  <si>
    <t>Abinav</t>
  </si>
  <si>
    <t>Machine Learning in Daily Life</t>
  </si>
  <si>
    <t>TDAM010</t>
  </si>
  <si>
    <t>M Sinan</t>
  </si>
  <si>
    <t>HTML</t>
  </si>
  <si>
    <t>Aswin KP</t>
  </si>
  <si>
    <t>Ethical Hacking and Penetration Testing</t>
  </si>
  <si>
    <t>TDAP001</t>
  </si>
  <si>
    <t>M Nasif</t>
  </si>
  <si>
    <t>Python</t>
  </si>
  <si>
    <t>TDAP002</t>
  </si>
  <si>
    <t>Suhail</t>
  </si>
  <si>
    <t>python</t>
  </si>
  <si>
    <t>Role of Technology in Education</t>
  </si>
  <si>
    <t>TDAF001</t>
  </si>
  <si>
    <t>Safwan</t>
  </si>
  <si>
    <t>Python Flutter</t>
  </si>
  <si>
    <t>Digital Transformation in Business</t>
  </si>
  <si>
    <t>TDAF002</t>
  </si>
  <si>
    <t>Muhammed Shahid</t>
  </si>
  <si>
    <t> </t>
  </si>
  <si>
    <t>Shameem</t>
  </si>
  <si>
    <t>Web Development: Past, Present, and Future</t>
  </si>
  <si>
    <t>TDAF003</t>
  </si>
  <si>
    <t>Hudha Reema</t>
  </si>
  <si>
    <t>python flutter</t>
  </si>
  <si>
    <t>Big Data and Data Analytics</t>
  </si>
  <si>
    <t>TDAF004</t>
  </si>
  <si>
    <t>Muhammed Munaver V P</t>
  </si>
  <si>
    <t>TDAF005</t>
  </si>
  <si>
    <t>M.Shebil</t>
  </si>
  <si>
    <t>Python Flutter-Django</t>
  </si>
  <si>
    <t>flutter</t>
  </si>
  <si>
    <t>basic</t>
  </si>
  <si>
    <t>E-Commerce and Online Payment Security</t>
  </si>
  <si>
    <t>TDAN001</t>
  </si>
  <si>
    <t>M. Shabeeb</t>
  </si>
  <si>
    <t>Python Next js</t>
  </si>
  <si>
    <t>Vishnu</t>
  </si>
  <si>
    <t>Zero Trust Model</t>
  </si>
  <si>
    <t>TDAN002</t>
  </si>
  <si>
    <t>Rifana</t>
  </si>
  <si>
    <t>c p</t>
  </si>
  <si>
    <t>TDAA001</t>
  </si>
  <si>
    <t>Ajmal</t>
  </si>
  <si>
    <t>PythonDjango-Angular</t>
  </si>
  <si>
    <t>Angular</t>
  </si>
  <si>
    <t>Advanced</t>
  </si>
  <si>
    <t>TDAA002</t>
  </si>
  <si>
    <t>Ameera K</t>
  </si>
  <si>
    <t>patterns</t>
  </si>
  <si>
    <t>Jan Sabith</t>
  </si>
  <si>
    <t>Green Technology and Sustainable IT</t>
  </si>
  <si>
    <t>TDAA003</t>
  </si>
  <si>
    <t>Nidhal Muhammad PC</t>
  </si>
  <si>
    <t xml:space="preserve">file handling </t>
  </si>
  <si>
    <t>Web3</t>
  </si>
  <si>
    <t>TDAR001</t>
  </si>
  <si>
    <t>M Shameel</t>
  </si>
  <si>
    <t>PythonDjango-React</t>
  </si>
  <si>
    <t>completed</t>
  </si>
  <si>
    <t>Aswin PP</t>
  </si>
  <si>
    <t>Smart Homes and Home Automation</t>
  </si>
  <si>
    <t>TDAR002</t>
  </si>
  <si>
    <t>M. Shamil TK</t>
  </si>
  <si>
    <t>Drone Technology and Its Applications</t>
  </si>
  <si>
    <t>TDAR003</t>
  </si>
  <si>
    <t>M. Muaad</t>
  </si>
  <si>
    <t>Cybercrime and How to Prevent It</t>
  </si>
  <si>
    <t>TDAR004</t>
  </si>
  <si>
    <t>M. Nihal</t>
  </si>
  <si>
    <t>Wearable Technology in Daily Life</t>
  </si>
  <si>
    <t>TDAR005</t>
  </si>
  <si>
    <t>M. Ajmal CP</t>
  </si>
  <si>
    <t>DOM</t>
  </si>
  <si>
    <t>Anandu</t>
  </si>
  <si>
    <t>Social Media and Its Impact on Society</t>
  </si>
  <si>
    <t>TDAR006</t>
  </si>
  <si>
    <t>M. Rameesh KP</t>
  </si>
  <si>
    <t>Cloud Storage vs Local Storage</t>
  </si>
  <si>
    <t>TDAR007</t>
  </si>
  <si>
    <t>M. Irfan H</t>
  </si>
  <si>
    <t>api f</t>
  </si>
  <si>
    <t>Quantum Computing: The Next Big Revolution</t>
  </si>
  <si>
    <t>TDAR008</t>
  </si>
  <si>
    <t>Sajeer Fasil</t>
  </si>
  <si>
    <t>router</t>
  </si>
  <si>
    <t>Operating Systems: Windows, Linux, and macOS</t>
  </si>
  <si>
    <t>TDAR009</t>
  </si>
  <si>
    <t>Raneed</t>
  </si>
  <si>
    <t>Internet Safety for Students</t>
  </si>
  <si>
    <t>TDAR010</t>
  </si>
  <si>
    <t>Ashil</t>
  </si>
  <si>
    <t>Digital Marketing and Technology</t>
  </si>
  <si>
    <t>TDAR011</t>
  </si>
  <si>
    <t>Muhammed Rashid T</t>
  </si>
  <si>
    <t>Technology in Agriculture</t>
  </si>
  <si>
    <t>TDAR012</t>
  </si>
  <si>
    <t>M. Jamshid</t>
  </si>
  <si>
    <t>html</t>
  </si>
  <si>
    <t>Smart Cities and Technology</t>
  </si>
  <si>
    <t>TDAR013</t>
  </si>
  <si>
    <t>M. Irfan K</t>
  </si>
  <si>
    <t>Importance of IT Support in Organizations</t>
  </si>
  <si>
    <t>TDAR014</t>
  </si>
  <si>
    <t>Nihal Roshan</t>
  </si>
  <si>
    <t>Django - Django REST framework</t>
  </si>
  <si>
    <t>TDAR015</t>
  </si>
  <si>
    <t>Fadhil</t>
  </si>
  <si>
    <t>Deepfake Technology: Benefits and Risks</t>
  </si>
  <si>
    <t>TDAR016</t>
  </si>
  <si>
    <t>Abdul Sabith SB</t>
  </si>
  <si>
    <t>TDAR017</t>
  </si>
  <si>
    <t>Abu Hashim</t>
  </si>
  <si>
    <t>Digital Banking and FinTech Innovation</t>
  </si>
  <si>
    <t>TDAR018</t>
  </si>
  <si>
    <t>Nabla Paleri</t>
  </si>
  <si>
    <t>Biometric Authentication Systems</t>
  </si>
  <si>
    <t>TDAR019</t>
  </si>
  <si>
    <t>Fidha Jebin</t>
  </si>
  <si>
    <t>Database Management Systems</t>
  </si>
  <si>
    <t>TDAR020</t>
  </si>
  <si>
    <t>Jabir Ali</t>
  </si>
  <si>
    <t>Computer Networks and Their Types</t>
  </si>
  <si>
    <t>TDAR021</t>
  </si>
  <si>
    <t>Shiyas Ahmad</t>
  </si>
  <si>
    <t xml:space="preserve">django </t>
  </si>
  <si>
    <t>forms</t>
  </si>
  <si>
    <t>Open Source Software and Its Importance</t>
  </si>
  <si>
    <t>TDAR022</t>
  </si>
  <si>
    <t>Jithin</t>
  </si>
  <si>
    <t>Password Security and Multi-Factor Authentication</t>
  </si>
  <si>
    <t>TDAR023</t>
  </si>
  <si>
    <t>Aflah KT</t>
  </si>
  <si>
    <t>Role of IT in Healthcare Systems</t>
  </si>
  <si>
    <t>TDAR024</t>
  </si>
  <si>
    <t>Muhammed Unais K</t>
  </si>
  <si>
    <t>Software Development Life Cycle</t>
  </si>
  <si>
    <t>TDAR025</t>
  </si>
  <si>
    <t>M Dilshad</t>
  </si>
  <si>
    <t>Complete</t>
  </si>
  <si>
    <t>LMS comp</t>
  </si>
  <si>
    <t>Automation Testing in Software Development</t>
  </si>
  <si>
    <t>TDAR026</t>
  </si>
  <si>
    <t>M. Anas</t>
  </si>
  <si>
    <t>Cloud-Based Learning Platforms</t>
  </si>
  <si>
    <t>TDAR027</t>
  </si>
  <si>
    <t>Rabeehath</t>
  </si>
  <si>
    <t>new</t>
  </si>
  <si>
    <t>Aswin pp</t>
  </si>
  <si>
    <t>TDAU001</t>
  </si>
  <si>
    <t>Fathima Rafa</t>
  </si>
  <si>
    <t>UX-React</t>
  </si>
  <si>
    <t>Saheer</t>
  </si>
  <si>
    <t>UI/UX Design in Modern Applications</t>
  </si>
  <si>
    <t>TDAU002</t>
  </si>
  <si>
    <t>Fathima Safna</t>
  </si>
  <si>
    <t>IT Project Management</t>
  </si>
  <si>
    <t>TDAU003</t>
  </si>
  <si>
    <t>Riswa Mehfin</t>
  </si>
  <si>
    <t>Future of Human-Computer Interaction</t>
  </si>
  <si>
    <t>TDAU004</t>
  </si>
  <si>
    <t>Faheem</t>
  </si>
  <si>
    <t>Future Careers in Information Technology</t>
  </si>
  <si>
    <t>TDAU005</t>
  </si>
  <si>
    <t>Sinan</t>
  </si>
  <si>
    <t>TDAU006</t>
  </si>
  <si>
    <t>Irfan PC</t>
  </si>
  <si>
    <t xml:space="preserve">last portion </t>
  </si>
  <si>
    <t>Review no</t>
  </si>
  <si>
    <t>Review Date</t>
  </si>
  <si>
    <t>Mark</t>
  </si>
  <si>
    <t>Trainer</t>
  </si>
  <si>
    <t>+</t>
  </si>
  <si>
    <t>Resheduled</t>
  </si>
  <si>
    <t>Flutter-Django</t>
  </si>
  <si>
    <t>Aswin kc</t>
  </si>
  <si>
    <t>AB</t>
  </si>
  <si>
    <t>Fidha jebin</t>
  </si>
  <si>
    <t>Jabir ali</t>
  </si>
  <si>
    <t>STD ID :</t>
  </si>
  <si>
    <t xml:space="preserve">  COURSE PROGRESS</t>
  </si>
  <si>
    <t xml:space="preserve">       STUDENT REVIEW</t>
  </si>
  <si>
    <t>Course</t>
  </si>
  <si>
    <t>Date reviewed</t>
  </si>
  <si>
    <t>Staff Name</t>
  </si>
  <si>
    <t>Beginning Date</t>
  </si>
  <si>
    <t>End Date</t>
  </si>
  <si>
    <t xml:space="preserve">       ATTENDANCE</t>
  </si>
  <si>
    <t xml:space="preserve">       PRESENTATION</t>
  </si>
  <si>
    <t>Current Date</t>
  </si>
  <si>
    <t>Presentation no</t>
  </si>
  <si>
    <t>Topic</t>
  </si>
  <si>
    <t>Total Days</t>
  </si>
  <si>
    <t>Working Days</t>
  </si>
  <si>
    <t>Absent Days</t>
  </si>
  <si>
    <t>SI No</t>
  </si>
  <si>
    <t>6-Jul</t>
  </si>
  <si>
    <t>7-Jul</t>
  </si>
  <si>
    <t>8-Jul</t>
  </si>
  <si>
    <t>9-Jul</t>
  </si>
  <si>
    <t>10-Jul</t>
  </si>
  <si>
    <t>13-Jul</t>
  </si>
  <si>
    <t>14-Jul</t>
  </si>
  <si>
    <t>15-Jul</t>
  </si>
  <si>
    <t>16-Jul</t>
  </si>
  <si>
    <t>17-Jul</t>
  </si>
  <si>
    <t>20-Jul</t>
  </si>
  <si>
    <t>21-Jul</t>
  </si>
  <si>
    <t>22-Jul</t>
  </si>
  <si>
    <t>23-Jul</t>
  </si>
  <si>
    <t>24-Jul</t>
  </si>
  <si>
    <t>27-Jul</t>
  </si>
  <si>
    <t>28-Jul</t>
  </si>
  <si>
    <t>29-Jul</t>
  </si>
  <si>
    <t>30-Jul</t>
  </si>
  <si>
    <t>31-Jul</t>
  </si>
  <si>
    <t>3-Aug</t>
  </si>
  <si>
    <t>4-Aug</t>
  </si>
  <si>
    <t>5-Aug</t>
  </si>
  <si>
    <t>6-Aug</t>
  </si>
  <si>
    <t>7-Aug</t>
  </si>
  <si>
    <t>10-Aug</t>
  </si>
  <si>
    <t>11-Aug</t>
  </si>
  <si>
    <t>12-Aug</t>
  </si>
  <si>
    <t>13-Aug</t>
  </si>
  <si>
    <t>14-Aug</t>
  </si>
  <si>
    <t>17-Aug</t>
  </si>
  <si>
    <t>18-Aug</t>
  </si>
  <si>
    <t>19-Aug</t>
  </si>
  <si>
    <t>20-Aug</t>
  </si>
  <si>
    <t>21-Aug</t>
  </si>
  <si>
    <t>24-Aug</t>
  </si>
  <si>
    <t>25-Aug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</si>
  <si>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</si>
  <si>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</si>
  <si>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</si>
  <si>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</si>
  <si>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</si>
  <si>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</si>
  <si>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</si>
  <si>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</si>
  <si>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</si>
  <si>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</si>
  <si>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</si>
  <si>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</si>
  <si>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</si>
  <si>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</si>
  <si>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</si>
  <si>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</si>
  <si>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</si>
  <si>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</si>
  <si>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</si>
  <si>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</si>
  <si>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</si>
  <si>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</si>
  <si>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</si>
  <si>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</si>
  <si>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</si>
  <si>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</si>
  <si>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</si>
  <si>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</si>
  <si>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</si>
  <si>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</si>
  <si>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</si>
  <si>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</si>
  <si>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</si>
  <si>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</si>
  <si>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</si>
  <si>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</si>
  <si>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</si>
  <si>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</si>
  <si>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</si>
  <si>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</si>
  <si>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</si>
  <si>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</si>
  <si>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</si>
  <si>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</si>
  <si>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</si>
  <si>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</si>
  <si>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</si>
  <si>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</si>
  <si>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</si>
  <si>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</si>
  <si>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</si>
  <si>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</si>
  <si>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</si>
  <si>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</si>
  <si>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</si>
  <si>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</si>
  <si>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</si>
  <si>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</si>
  <si>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</si>
  <si>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</si>
  <si>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</si>
  <si>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</si>
  <si>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</si>
  <si>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2-Nov</t>
  </si>
  <si>
    <t>3-Nov</t>
  </si>
  <si>
    <t>4-Nov</t>
  </si>
  <si>
    <t>Absent</t>
  </si>
  <si>
    <t>UI UX React</t>
  </si>
  <si>
    <t>Present</t>
  </si>
  <si>
    <t>Rahsha</t>
  </si>
  <si>
    <t>Half Day</t>
  </si>
  <si>
    <t>fathima Hudha</t>
  </si>
  <si>
    <t>UI UX</t>
  </si>
  <si>
    <t>Fathima Juba</t>
  </si>
  <si>
    <t>Risva Mehafin</t>
  </si>
  <si>
    <t xml:space="preserve">Harshal </t>
  </si>
  <si>
    <t>Python Angular</t>
  </si>
  <si>
    <t>Jumana</t>
  </si>
  <si>
    <t>M. Azad</t>
  </si>
  <si>
    <t>M Shameem</t>
  </si>
  <si>
    <t>Python React</t>
  </si>
  <si>
    <t>Python Next</t>
  </si>
  <si>
    <t>Rabeehath V</t>
  </si>
  <si>
    <t>M. Nihal CP</t>
  </si>
  <si>
    <t>Afeef Ahammed VV</t>
  </si>
  <si>
    <t>Jinsila</t>
  </si>
  <si>
    <t>M Nabhan</t>
  </si>
  <si>
    <t>M. Sinan M</t>
  </si>
  <si>
    <t xml:space="preserve">Fadhil </t>
  </si>
  <si>
    <t>Danial Darvash</t>
  </si>
  <si>
    <t>Shehin</t>
  </si>
  <si>
    <t xml:space="preserve">Python </t>
  </si>
  <si>
    <t>F. Minha</t>
  </si>
  <si>
    <t>Email</t>
  </si>
  <si>
    <t>Phone</t>
  </si>
  <si>
    <t>fidhajebin5099@gmail.com</t>
  </si>
  <si>
    <t>+91 7510205099</t>
  </si>
  <si>
    <t>jinujinsila132@gmail.com</t>
  </si>
  <si>
    <t>+91 7592960624</t>
  </si>
  <si>
    <t>nabhannabu768@gmail.com</t>
  </si>
  <si>
    <t>+91 8891425450</t>
  </si>
  <si>
    <t>muhammedsinan7901@gmail.com</t>
  </si>
  <si>
    <t>+91 7736979724</t>
  </si>
  <si>
    <t>Raneedellyas@gmail.com</t>
  </si>
  <si>
    <t>+91 8891573780</t>
  </si>
  <si>
    <t>fazilfazi2007@gmail.com</t>
  </si>
  <si>
    <t>+91 8891454600</t>
  </si>
  <si>
    <t>abhinavabhi.7364@gmail.com</t>
  </si>
  <si>
    <t>+91 9778751070</t>
  </si>
  <si>
    <t>Ajmalajmal0665@gmail.com</t>
  </si>
  <si>
    <t>+91 8590966165</t>
  </si>
  <si>
    <t>aswinrajcholakuzhi@gmail.com</t>
  </si>
  <si>
    <t>+91 7907412065</t>
  </si>
  <si>
    <t>arshalmuhammed85@gmail.com</t>
  </si>
  <si>
    <t>+91 9778253529</t>
  </si>
  <si>
    <t>muhammadhishamklpm@gmail.com</t>
  </si>
  <si>
    <t>+91 7012208998</t>
  </si>
  <si>
    <t>sherinjumana298@gmail.com</t>
  </si>
  <si>
    <t>+91 9207340531</t>
  </si>
  <si>
    <t>shameemr894@gmail.com</t>
  </si>
  <si>
    <t>+91 8943267785</t>
  </si>
  <si>
    <t>muhammedazad700@gmail.com</t>
  </si>
  <si>
    <t>+91 8848862172</t>
  </si>
  <si>
    <t>danishlaice@gmail.com</t>
  </si>
  <si>
    <t>+91 9645849933</t>
  </si>
  <si>
    <t>safeerzaid4@gmail.com</t>
  </si>
  <si>
    <t>+91 6235283718</t>
  </si>
  <si>
    <t>nibraz0000@gmail.com</t>
  </si>
  <si>
    <t>+91 7025954961</t>
  </si>
  <si>
    <t>raheespkrahees802@gmail.com</t>
  </si>
  <si>
    <t>+91 8589857496</t>
  </si>
  <si>
    <t>+91 8921712671</t>
  </si>
  <si>
    <t>mirfanh904@gmail.com</t>
  </si>
  <si>
    <t>+91 9048212982</t>
  </si>
  <si>
    <t>irfanmuthu56@gmail.com</t>
  </si>
  <si>
    <t>+91 8086175728</t>
  </si>
  <si>
    <t>rameezmhmd855@gmail.com</t>
  </si>
  <si>
    <t>+91 9072090250</t>
  </si>
  <si>
    <t>nihalroshanv@gmail.com</t>
  </si>
  <si>
    <t>+91 9645405645</t>
  </si>
  <si>
    <t>Fathimaaminhaa473@gmail.com</t>
  </si>
  <si>
    <t xml:space="preserve"> +91  9947619858</t>
  </si>
  <si>
    <t>Nasifnishu115@gamil.com</t>
  </si>
  <si>
    <t>+91 9746737416</t>
  </si>
  <si>
    <t>svk511342@gmail.com</t>
  </si>
  <si>
    <t>+91 9526218118</t>
  </si>
  <si>
    <t xml:space="preserve"> rifanaavp@gmail.com</t>
  </si>
  <si>
    <t>+91 9292014016</t>
  </si>
  <si>
    <t>safvanvarappara@gmail.com</t>
  </si>
  <si>
    <t>+91 9847456344</t>
  </si>
  <si>
    <t>ahmedafeef080@gmail.com</t>
  </si>
  <si>
    <t>+91 8590721047</t>
  </si>
  <si>
    <t>nihalabdulla8131@gmail.com</t>
  </si>
  <si>
    <t>+91 9495939823</t>
  </si>
  <si>
    <t>rabeemonu@gmail.com</t>
  </si>
  <si>
    <t>+91 8891909201</t>
  </si>
  <si>
    <t>shiyasahmad555@gmail.com</t>
  </si>
  <si>
    <t>+91 7012587705</t>
  </si>
  <si>
    <t>aymanami3006@gmail.com</t>
  </si>
  <si>
    <t>mohamedashilpavuthodika@gmail.com</t>
  </si>
  <si>
    <t>danialdarvesh71@gmail.com</t>
  </si>
  <si>
    <t>+91 9946162710</t>
  </si>
  <si>
    <t>pcnidhal85@gmail.com</t>
  </si>
  <si>
    <t>shhinmohammedak@gmail.com</t>
  </si>
  <si>
    <t xml:space="preserve">abdulsabithkwt@gamil.com </t>
  </si>
  <si>
    <t>+91 8921259292</t>
  </si>
  <si>
    <t xml:space="preserve">jabirt58682@gmail.com </t>
  </si>
  <si>
    <t>+91 7034105396</t>
  </si>
  <si>
    <t xml:space="preserve">Jamshiihereee@gmail.com </t>
  </si>
  <si>
    <t>+91 7356836889</t>
  </si>
  <si>
    <t>muhammedshabeeb130@gmail.com</t>
  </si>
  <si>
    <t>+91 7025935819</t>
  </si>
  <si>
    <t>faheemmaliyakkal@gmile.com</t>
  </si>
  <si>
    <t>fathimahudakp443@gmail.com</t>
  </si>
  <si>
    <t>rahshaveerankutty@gmail.com</t>
  </si>
  <si>
    <t>hudareem08@gmail.com</t>
  </si>
  <si>
    <t>+91 9947580106</t>
  </si>
  <si>
    <t>muhammedshahid2606@gmail.com</t>
  </si>
  <si>
    <t>+91 9946338355</t>
  </si>
  <si>
    <t>Start</t>
  </si>
  <si>
    <t>REST</t>
  </si>
  <si>
    <t>V/A</t>
  </si>
  <si>
    <t xml:space="preserve">Arguments </t>
  </si>
  <si>
    <t>File Handling</t>
  </si>
  <si>
    <t>Python flutter</t>
  </si>
  <si>
    <t xml:space="preserve">data structure </t>
  </si>
  <si>
    <t>JS</t>
  </si>
  <si>
    <t>Loops</t>
  </si>
  <si>
    <t>Array</t>
  </si>
  <si>
    <t>Python Internship</t>
  </si>
  <si>
    <t>C programming</t>
  </si>
  <si>
    <t>Functions</t>
  </si>
  <si>
    <t>Akshan</t>
  </si>
  <si>
    <t>Data Analytics</t>
  </si>
  <si>
    <t>Operators</t>
  </si>
  <si>
    <t>Fathima Lena</t>
  </si>
  <si>
    <t>M. Shameem</t>
  </si>
  <si>
    <t>Afeef Ahmed</t>
  </si>
  <si>
    <t>M Nihal CP</t>
  </si>
  <si>
    <t>Jumana Sherin</t>
  </si>
  <si>
    <t>Fathima Minha</t>
  </si>
  <si>
    <t>M. Shehin</t>
  </si>
  <si>
    <t>presentation no</t>
  </si>
  <si>
    <t>Cybersecurity and Online Safety</t>
  </si>
  <si>
    <t>09/06 - based</t>
  </si>
  <si>
    <t>-</t>
  </si>
  <si>
    <t>18/6 - based</t>
  </si>
  <si>
    <t>Aswin</t>
  </si>
  <si>
    <t>Hisham</t>
  </si>
  <si>
    <t>Nibrasul Haqu</t>
  </si>
  <si>
    <t>Hudha Reem</t>
  </si>
  <si>
    <t>M Munaver</t>
  </si>
  <si>
    <t>RS</t>
  </si>
  <si>
    <t>M Nidhal</t>
  </si>
  <si>
    <t>Anas</t>
  </si>
  <si>
    <t xml:space="preserve">M Dilshad </t>
  </si>
  <si>
    <t>Nabla</t>
  </si>
  <si>
    <t>Unais</t>
  </si>
  <si>
    <t>F. Safna</t>
  </si>
  <si>
    <t>No</t>
  </si>
  <si>
    <t>T2 - 1</t>
  </si>
  <si>
    <t>NOC</t>
  </si>
  <si>
    <t>Passed</t>
  </si>
  <si>
    <t>Advanced query</t>
  </si>
  <si>
    <t>T3 - 1</t>
  </si>
  <si>
    <t>status</t>
  </si>
  <si>
    <t>Raashid</t>
  </si>
  <si>
    <t>Safeer</t>
  </si>
  <si>
    <t>T3 - 2</t>
  </si>
  <si>
    <t>T1 - 2</t>
  </si>
  <si>
    <t>Shahid</t>
  </si>
  <si>
    <t>Huda Reema</t>
  </si>
  <si>
    <t>Generative AI and Large Language Models</t>
  </si>
  <si>
    <t>AI Agents</t>
  </si>
  <si>
    <t>Prompt Engineering</t>
  </si>
  <si>
    <t>AI Hallucinations</t>
  </si>
  <si>
    <t>Digital Twins</t>
  </si>
  <si>
    <t>Multimodal AI</t>
  </si>
  <si>
    <t>Explainable AI</t>
  </si>
  <si>
    <t>Retrieval-Augmented Generation (RAG)</t>
  </si>
  <si>
    <t>AI-Powered Coding Assistants</t>
  </si>
  <si>
    <t>Computer Vision</t>
  </si>
  <si>
    <t>Natural Language Processing</t>
  </si>
  <si>
    <t>Edge AI</t>
  </si>
  <si>
    <t>Synthetic Data and AI</t>
  </si>
  <si>
    <t>AI in Software Testing</t>
  </si>
  <si>
    <t>Human-AI Collaboration</t>
  </si>
  <si>
    <t>Federated Learning</t>
  </si>
  <si>
    <t>Reinforcement Learning</t>
  </si>
  <si>
    <t>AI Model Bias and Fairness</t>
  </si>
  <si>
    <t>Small Language Models</t>
  </si>
  <si>
    <t>AI Model Training and Fine-Tuning</t>
  </si>
  <si>
    <t>Microservices Architecture</t>
  </si>
  <si>
    <t>Micro Frontends</t>
  </si>
  <si>
    <t>Serverless Computing</t>
  </si>
  <si>
    <t>GraphQL vs REST API</t>
  </si>
  <si>
    <t>WebAssembly</t>
  </si>
  <si>
    <t>DevOps and CI/CD</t>
  </si>
  <si>
    <t>Event-Driven Architecture</t>
  </si>
  <si>
    <t>Domain-Driven Design</t>
  </si>
  <si>
    <t>Software Architecture Patterns</t>
  </si>
  <si>
    <t>Progressive Web Apps (PWA)</t>
  </si>
  <si>
    <t>WebSockets and Real-Time Applications</t>
  </si>
  <si>
    <t>API Gateway Architecture</t>
  </si>
  <si>
    <t>Containerization with Docker</t>
  </si>
  <si>
    <t>Kubernetes and Container Orchestration</t>
  </si>
  <si>
    <t>GitOps and Modern Software Delivery</t>
  </si>
  <si>
    <t>Low-Code and No-Code Development</t>
  </si>
  <si>
    <t>Headless CMS Architecture</t>
  </si>
  <si>
    <t>Jamstack Architecture</t>
  </si>
  <si>
    <t>Server-Side Rendering vs Client-Side Rendering</t>
  </si>
  <si>
    <t>Feature Flags in Software Development</t>
  </si>
  <si>
    <t>Ransomware</t>
  </si>
  <si>
    <t>Digital Forensics</t>
  </si>
  <si>
    <t>Identity and Access Management</t>
  </si>
  <si>
    <t>API Security</t>
  </si>
  <si>
    <t>Social Engineering Attacks</t>
  </si>
  <si>
    <t>Zero-Day Vulnerabilities</t>
  </si>
  <si>
    <t>Security Operations Centers (SOC)</t>
  </si>
  <si>
    <t>Public Key Infrastructure (PKI)</t>
  </si>
  <si>
    <t>Secure Software Development</t>
  </si>
  <si>
    <t>Passwordless Authentication</t>
  </si>
  <si>
    <t>Data Lakehouse</t>
  </si>
  <si>
    <t>Apache Kafka and Real-Time Data</t>
  </si>
  <si>
    <t>5G vs 6G</t>
  </si>
  <si>
    <t>Brain-Computer Interfaces</t>
  </si>
  <si>
    <t>Di</t>
  </si>
  <si>
    <t>Humanoid Robots</t>
  </si>
  <si>
    <t>Autonomous Vehicles</t>
  </si>
  <si>
    <t>Satellite Internet</t>
  </si>
  <si>
    <t>Spatial Computing</t>
  </si>
  <si>
    <t>Quantum Machine Learning</t>
  </si>
  <si>
    <t>Li-Fi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</si>
</sst>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3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charset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charset val="1"/>
    </font>
    <font>
      <sz val="11"/>
      <color rgb="FF70AD47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Aptos Narrow"/>
      <charset val="1"/>
    </font>
    <font>
      <sz val="11"/>
      <color rgb="FF242424"/>
      <name val="Aptos Narrow"/>
      <charset val="1"/>
    </font>
    <font>
      <b/>
      <sz val="11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132038"/>
      <name val="Calibri"/>
      <family val="2"/>
    </font>
    <font>
      <b/>
      <sz val="16"/>
      <color rgb="FFC23A3A"/>
      <name val="Calibri"/>
    </font>
    <font>
      <b/>
      <sz val="16"/>
      <color rgb="FFC23A3A"/>
      <name val="Calibri"/>
      <family val="2"/>
    </font>
    <font>
      <b/>
      <sz val="16"/>
      <color rgb="FF242424"/>
      <name val="Aptos Narrow"/>
      <charset val="1"/>
    </font>
    <font>
      <b/>
      <sz val="16"/>
      <color rgb="FF1C2438"/>
      <name val="Calibri"/>
      <family val="2"/>
    </font>
    <font>
      <b/>
      <sz val="16"/>
      <color theme="1"/>
      <name val="Calibri"/>
    </font>
    <font>
      <b/>
      <sz val="16"/>
      <color theme="1"/>
      <name val="Aptos Narrow"/>
    </font>
    <font>
      <b/>
      <sz val="20"/>
      <color theme="0"/>
      <name val="Calibri"/>
      <family val="2"/>
    </font>
    <font>
      <b/>
      <sz val="20"/>
      <color rgb="FFFFFFFF"/>
      <name val="Calibri"/>
      <family val="2"/>
    </font>
    <font>
      <b/>
      <sz val="20"/>
      <color theme="0"/>
      <name val="Calibri"/>
    </font>
    <font>
      <b/>
      <sz val="26"/>
      <color theme="0"/>
      <name val="Calibri"/>
      <family val="2"/>
      <scheme val="minor"/>
    </font>
    <font>
      <sz val="11"/>
      <color rgb="FFFF0000"/>
      <name val="Aptos Narrow"/>
      <charset val="1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32038"/>
        <bgColor indexed="64"/>
      </patternFill>
    </fill>
    <fill>
      <patternFill patternType="solid">
        <fgColor rgb="FF1C2E4F"/>
        <bgColor rgb="FFEEF0F4"/>
      </patternFill>
    </fill>
    <fill>
      <patternFill patternType="solid">
        <fgColor rgb="FF1C2E4F"/>
        <bgColor rgb="FF1C2438"/>
      </patternFill>
    </fill>
    <fill>
      <patternFill patternType="solid">
        <fgColor theme="0"/>
        <bgColor rgb="FFEEF0F4"/>
      </patternFill>
    </fill>
    <fill>
      <patternFill patternType="solid">
        <fgColor theme="0"/>
        <bgColor rgb="FF1C2438"/>
      </patternFill>
    </fill>
    <fill>
      <patternFill patternType="solid">
        <fgColor rgb="FF3BABB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132038"/>
      </left>
      <right/>
      <top style="medium">
        <color rgb="FF132038"/>
      </top>
      <bottom/>
      <diagonal/>
    </border>
    <border>
      <left/>
      <right/>
      <top style="medium">
        <color rgb="FF132038"/>
      </top>
      <bottom/>
      <diagonal/>
    </border>
    <border>
      <left/>
      <right style="medium">
        <color rgb="FF132038"/>
      </right>
      <top style="medium">
        <color rgb="FF13203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132038"/>
      </left>
      <right/>
      <top/>
      <bottom/>
      <diagonal/>
    </border>
    <border>
      <left/>
      <right style="medium">
        <color rgb="FF132038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132038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132038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</borders>
  <cellStyleXfs count="3">
    <xf numFmtId="0" fontId="0" fillId="0" borderId="0"/>
    <xf numFmtId="0" fontId="18" fillId="0" borderId="0"/>
    <xf numFmtId="0" fontId="37" fillId="0" borderId="0" applyNumberFormat="0" applyFill="0" applyBorder="0" applyAlignment="0" applyProtection="0"/>
  </cellStyleXfs>
  <cellXfs count="28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" fontId="2" fillId="0" borderId="1" xfId="0" applyNumberFormat="1" applyFont="1" applyBorder="1"/>
    <xf numFmtId="0" fontId="4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0" fillId="2" borderId="1" xfId="0" applyFill="1" applyBorder="1"/>
    <xf numFmtId="20" fontId="0" fillId="0" borderId="1" xfId="0" applyNumberFormat="1" applyBorder="1"/>
    <xf numFmtId="0" fontId="9" fillId="0" borderId="1" xfId="0" applyFont="1" applyBorder="1"/>
    <xf numFmtId="0" fontId="6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/>
    <xf numFmtId="0" fontId="6" fillId="3" borderId="1" xfId="0" applyFont="1" applyFill="1" applyBorder="1"/>
    <xf numFmtId="0" fontId="7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9" fillId="3" borderId="1" xfId="0" applyFont="1" applyFill="1" applyBorder="1"/>
    <xf numFmtId="0" fontId="12" fillId="3" borderId="1" xfId="0" applyFont="1" applyFill="1" applyBorder="1" applyAlignment="1">
      <alignment horizontal="right"/>
    </xf>
    <xf numFmtId="16" fontId="0" fillId="0" borderId="1" xfId="0" applyNumberFormat="1" applyBorder="1"/>
    <xf numFmtId="0" fontId="12" fillId="2" borderId="1" xfId="0" applyFont="1" applyFill="1" applyBorder="1" applyAlignment="1">
      <alignment horizontal="right"/>
    </xf>
    <xf numFmtId="0" fontId="0" fillId="0" borderId="5" xfId="0" applyBorder="1"/>
    <xf numFmtId="16" fontId="2" fillId="0" borderId="3" xfId="0" applyNumberFormat="1" applyFont="1" applyBorder="1"/>
    <xf numFmtId="16" fontId="2" fillId="0" borderId="4" xfId="0" applyNumberFormat="1" applyFont="1" applyBorder="1"/>
    <xf numFmtId="0" fontId="0" fillId="3" borderId="1" xfId="0" applyFill="1" applyBorder="1" applyAlignment="1">
      <alignment horizontal="right"/>
    </xf>
    <xf numFmtId="16" fontId="6" fillId="2" borderId="1" xfId="0" applyNumberFormat="1" applyFont="1" applyFill="1" applyBorder="1"/>
    <xf numFmtId="0" fontId="13" fillId="2" borderId="1" xfId="0" applyFont="1" applyFill="1" applyBorder="1" applyAlignment="1">
      <alignment horizontal="right"/>
    </xf>
    <xf numFmtId="0" fontId="14" fillId="0" borderId="1" xfId="0" applyFont="1" applyBorder="1"/>
    <xf numFmtId="0" fontId="8" fillId="0" borderId="1" xfId="0" applyFont="1" applyBorder="1"/>
    <xf numFmtId="16" fontId="0" fillId="2" borderId="1" xfId="0" applyNumberFormat="1" applyFill="1" applyBorder="1"/>
    <xf numFmtId="0" fontId="9" fillId="2" borderId="0" xfId="0" applyFont="1" applyFill="1"/>
    <xf numFmtId="0" fontId="9" fillId="0" borderId="0" xfId="0" applyFont="1"/>
    <xf numFmtId="0" fontId="8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9" fillId="5" borderId="1" xfId="0" applyFont="1" applyFill="1" applyBorder="1"/>
    <xf numFmtId="0" fontId="12" fillId="5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9" fillId="2" borderId="5" xfId="0" applyFont="1" applyFill="1" applyBorder="1"/>
    <xf numFmtId="0" fontId="9" fillId="0" borderId="5" xfId="0" applyFont="1" applyBorder="1"/>
    <xf numFmtId="0" fontId="0" fillId="0" borderId="6" xfId="0" applyBorder="1"/>
    <xf numFmtId="0" fontId="4" fillId="0" borderId="3" xfId="0" applyFont="1" applyBorder="1"/>
    <xf numFmtId="0" fontId="6" fillId="2" borderId="4" xfId="0" applyFont="1" applyFill="1" applyBorder="1"/>
    <xf numFmtId="0" fontId="15" fillId="0" borderId="1" xfId="0" applyFont="1" applyBorder="1" applyAlignment="1">
      <alignment readingOrder="1"/>
    </xf>
    <xf numFmtId="0" fontId="16" fillId="0" borderId="1" xfId="0" applyFont="1" applyBorder="1"/>
    <xf numFmtId="14" fontId="0" fillId="0" borderId="1" xfId="0" applyNumberFormat="1" applyBorder="1"/>
    <xf numFmtId="14" fontId="16" fillId="0" borderId="1" xfId="0" applyNumberFormat="1" applyFont="1" applyBorder="1"/>
    <xf numFmtId="0" fontId="2" fillId="6" borderId="1" xfId="0" applyFont="1" applyFill="1" applyBorder="1"/>
    <xf numFmtId="0" fontId="11" fillId="0" borderId="0" xfId="0" applyFont="1"/>
    <xf numFmtId="0" fontId="8" fillId="0" borderId="7" xfId="0" applyFont="1" applyBorder="1"/>
    <xf numFmtId="0" fontId="17" fillId="0" borderId="1" xfId="0" applyFont="1" applyBorder="1"/>
    <xf numFmtId="0" fontId="8" fillId="6" borderId="1" xfId="0" applyFont="1" applyFill="1" applyBorder="1"/>
    <xf numFmtId="0" fontId="0" fillId="7" borderId="0" xfId="0" applyFill="1"/>
    <xf numFmtId="0" fontId="0" fillId="2" borderId="0" xfId="0" applyFill="1"/>
    <xf numFmtId="0" fontId="0" fillId="0" borderId="4" xfId="0" applyBorder="1"/>
    <xf numFmtId="0" fontId="0" fillId="0" borderId="0" xfId="0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0" fillId="3" borderId="60" xfId="0" applyFill="1" applyBorder="1" applyAlignment="1">
      <alignment horizontal="center" vertical="center" wrapText="1"/>
    </xf>
    <xf numFmtId="0" fontId="0" fillId="2" borderId="60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85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2" borderId="85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3" borderId="5" xfId="0" applyFill="1" applyBorder="1"/>
    <xf numFmtId="0" fontId="9" fillId="5" borderId="5" xfId="0" applyFont="1" applyFill="1" applyBorder="1"/>
    <xf numFmtId="0" fontId="0" fillId="2" borderId="5" xfId="0" applyFill="1" applyBorder="1"/>
    <xf numFmtId="0" fontId="0" fillId="5" borderId="5" xfId="0" applyFill="1" applyBorder="1"/>
    <xf numFmtId="0" fontId="11" fillId="2" borderId="62" xfId="0" applyFont="1" applyFill="1" applyBorder="1"/>
    <xf numFmtId="0" fontId="11" fillId="2" borderId="4" xfId="0" applyFont="1" applyFill="1" applyBorder="1"/>
    <xf numFmtId="16" fontId="11" fillId="2" borderId="4" xfId="0" applyNumberFormat="1" applyFont="1" applyFill="1" applyBorder="1"/>
    <xf numFmtId="16" fontId="11" fillId="2" borderId="78" xfId="0" applyNumberFormat="1" applyFont="1" applyFill="1" applyBorder="1"/>
    <xf numFmtId="0" fontId="0" fillId="3" borderId="3" xfId="0" applyFill="1" applyBorder="1"/>
    <xf numFmtId="0" fontId="0" fillId="3" borderId="77" xfId="0" applyFill="1" applyBorder="1"/>
    <xf numFmtId="0" fontId="0" fillId="3" borderId="85" xfId="0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 wrapText="1"/>
    </xf>
    <xf numFmtId="14" fontId="20" fillId="0" borderId="0" xfId="0" applyNumberFormat="1" applyFont="1" applyAlignment="1">
      <alignment horizontal="right"/>
    </xf>
    <xf numFmtId="0" fontId="10" fillId="0" borderId="1" xfId="0" applyFont="1" applyBorder="1"/>
    <xf numFmtId="0" fontId="10" fillId="2" borderId="1" xfId="0" applyFont="1" applyFill="1" applyBorder="1"/>
    <xf numFmtId="16" fontId="9" fillId="2" borderId="1" xfId="0" applyNumberFormat="1" applyFont="1" applyFill="1" applyBorder="1"/>
    <xf numFmtId="0" fontId="5" fillId="0" borderId="1" xfId="0" applyFont="1" applyBorder="1"/>
    <xf numFmtId="164" fontId="11" fillId="0" borderId="1" xfId="0" applyNumberFormat="1" applyFont="1" applyBorder="1"/>
    <xf numFmtId="164" fontId="0" fillId="0" borderId="1" xfId="0" applyNumberFormat="1" applyBorder="1"/>
    <xf numFmtId="15" fontId="0" fillId="0" borderId="1" xfId="0" applyNumberFormat="1" applyBorder="1"/>
    <xf numFmtId="0" fontId="0" fillId="13" borderId="1" xfId="0" applyFill="1" applyBorder="1"/>
    <xf numFmtId="0" fontId="16" fillId="2" borderId="0" xfId="0" applyFont="1" applyFill="1"/>
    <xf numFmtId="0" fontId="4" fillId="2" borderId="1" xfId="0" applyFont="1" applyFill="1" applyBorder="1"/>
    <xf numFmtId="0" fontId="13" fillId="13" borderId="1" xfId="0" applyFont="1" applyFill="1" applyBorder="1" applyAlignment="1">
      <alignment horizontal="right"/>
    </xf>
    <xf numFmtId="0" fontId="0" fillId="13" borderId="3" xfId="0" applyFill="1" applyBorder="1"/>
    <xf numFmtId="0" fontId="9" fillId="14" borderId="1" xfId="0" applyFont="1" applyFill="1" applyBorder="1"/>
    <xf numFmtId="0" fontId="9" fillId="14" borderId="85" xfId="0" applyFont="1" applyFill="1" applyBorder="1" applyAlignment="1">
      <alignment horizontal="center" vertical="center"/>
    </xf>
    <xf numFmtId="0" fontId="9" fillId="14" borderId="5" xfId="0" applyFont="1" applyFill="1" applyBorder="1"/>
    <xf numFmtId="0" fontId="5" fillId="14" borderId="1" xfId="0" applyFont="1" applyFill="1" applyBorder="1"/>
    <xf numFmtId="0" fontId="10" fillId="14" borderId="1" xfId="0" applyFont="1" applyFill="1" applyBorder="1"/>
    <xf numFmtId="0" fontId="7" fillId="0" borderId="1" xfId="0" applyFont="1" applyBorder="1"/>
    <xf numFmtId="0" fontId="6" fillId="0" borderId="1" xfId="0" applyFont="1" applyBorder="1"/>
    <xf numFmtId="0" fontId="12" fillId="2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15" borderId="1" xfId="0" applyFill="1" applyBorder="1"/>
    <xf numFmtId="0" fontId="9" fillId="15" borderId="1" xfId="0" applyFont="1" applyFill="1" applyBorder="1"/>
    <xf numFmtId="0" fontId="0" fillId="3" borderId="0" xfId="0" applyFill="1"/>
    <xf numFmtId="0" fontId="12" fillId="13" borderId="1" xfId="0" applyFont="1" applyFill="1" applyBorder="1" applyAlignment="1">
      <alignment horizontal="right"/>
    </xf>
    <xf numFmtId="0" fontId="9" fillId="13" borderId="1" xfId="0" applyFont="1" applyFill="1" applyBorder="1"/>
    <xf numFmtId="0" fontId="9" fillId="13" borderId="62" xfId="0" applyFont="1" applyFill="1" applyBorder="1" applyAlignment="1">
      <alignment horizontal="center" vertical="center"/>
    </xf>
    <xf numFmtId="0" fontId="9" fillId="13" borderId="5" xfId="0" applyFont="1" applyFill="1" applyBorder="1"/>
    <xf numFmtId="0" fontId="5" fillId="13" borderId="1" xfId="0" applyFont="1" applyFill="1" applyBorder="1"/>
    <xf numFmtId="0" fontId="35" fillId="13" borderId="1" xfId="0" applyFont="1" applyFill="1" applyBorder="1"/>
    <xf numFmtId="0" fontId="35" fillId="13" borderId="60" xfId="0" applyFont="1" applyFill="1" applyBorder="1" applyAlignment="1">
      <alignment horizontal="center" vertical="center"/>
    </xf>
    <xf numFmtId="0" fontId="35" fillId="13" borderId="3" xfId="0" applyFont="1" applyFill="1" applyBorder="1"/>
    <xf numFmtId="0" fontId="35" fillId="13" borderId="5" xfId="0" applyFont="1" applyFill="1" applyBorder="1"/>
    <xf numFmtId="0" fontId="36" fillId="13" borderId="1" xfId="0" applyFont="1" applyFill="1" applyBorder="1"/>
    <xf numFmtId="0" fontId="9" fillId="13" borderId="60" xfId="0" applyFont="1" applyFill="1" applyBorder="1" applyAlignment="1">
      <alignment horizontal="center" vertical="center"/>
    </xf>
    <xf numFmtId="0" fontId="9" fillId="13" borderId="85" xfId="0" applyFont="1" applyFill="1" applyBorder="1" applyAlignment="1">
      <alignment horizontal="center" vertical="center"/>
    </xf>
    <xf numFmtId="0" fontId="3" fillId="13" borderId="1" xfId="0" applyFont="1" applyFill="1" applyBorder="1"/>
    <xf numFmtId="0" fontId="16" fillId="2" borderId="1" xfId="0" applyFont="1" applyFill="1" applyBorder="1"/>
    <xf numFmtId="0" fontId="6" fillId="2" borderId="5" xfId="0" applyFont="1" applyFill="1" applyBorder="1"/>
    <xf numFmtId="0" fontId="37" fillId="0" borderId="1" xfId="2" applyBorder="1"/>
    <xf numFmtId="0" fontId="11" fillId="2" borderId="5" xfId="0" applyFont="1" applyFill="1" applyBorder="1"/>
    <xf numFmtId="0" fontId="1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49" fontId="11" fillId="0" borderId="6" xfId="0" applyNumberFormat="1" applyFont="1" applyBorder="1"/>
    <xf numFmtId="49" fontId="0" fillId="0" borderId="6" xfId="0" applyNumberFormat="1" applyBorder="1"/>
    <xf numFmtId="0" fontId="3" fillId="2" borderId="1" xfId="0" applyFont="1" applyFill="1" applyBorder="1"/>
    <xf numFmtId="0" fontId="3" fillId="14" borderId="1" xfId="0" applyFont="1" applyFill="1" applyBorder="1"/>
    <xf numFmtId="0" fontId="36" fillId="16" borderId="77" xfId="0" applyFont="1" applyFill="1" applyBorder="1"/>
    <xf numFmtId="0" fontId="14" fillId="16" borderId="77" xfId="0" applyFont="1" applyFill="1" applyBorder="1"/>
    <xf numFmtId="0" fontId="17" fillId="16" borderId="77" xfId="0" applyFont="1" applyFill="1" applyBorder="1"/>
    <xf numFmtId="0" fontId="36" fillId="16" borderId="3" xfId="0" applyFont="1" applyFill="1" applyBorder="1"/>
    <xf numFmtId="0" fontId="0" fillId="17" borderId="77" xfId="0" applyFill="1" applyBorder="1"/>
    <xf numFmtId="0" fontId="8" fillId="17" borderId="77" xfId="0" applyFont="1" applyFill="1" applyBorder="1"/>
    <xf numFmtId="0" fontId="8" fillId="6" borderId="77" xfId="0" applyFont="1" applyFill="1" applyBorder="1"/>
    <xf numFmtId="16" fontId="8" fillId="17" borderId="77" xfId="0" applyNumberFormat="1" applyFont="1" applyFill="1" applyBorder="1"/>
    <xf numFmtId="0" fontId="16" fillId="17" borderId="77" xfId="0" applyFont="1" applyFill="1" applyBorder="1"/>
    <xf numFmtId="0" fontId="0" fillId="17" borderId="3" xfId="0" applyFill="1" applyBorder="1"/>
    <xf numFmtId="0" fontId="0" fillId="0" borderId="77" xfId="0" applyBorder="1"/>
    <xf numFmtId="0" fontId="8" fillId="0" borderId="77" xfId="0" applyFont="1" applyBorder="1"/>
    <xf numFmtId="16" fontId="8" fillId="0" borderId="77" xfId="0" applyNumberFormat="1" applyFont="1" applyBorder="1"/>
    <xf numFmtId="0" fontId="8" fillId="0" borderId="87" xfId="0" applyFont="1" applyBorder="1"/>
    <xf numFmtId="0" fontId="16" fillId="0" borderId="77" xfId="0" applyFont="1" applyBorder="1"/>
    <xf numFmtId="0" fontId="0" fillId="0" borderId="3" xfId="0" applyBorder="1"/>
    <xf numFmtId="0" fontId="8" fillId="17" borderId="87" xfId="0" applyFont="1" applyFill="1" applyBorder="1"/>
    <xf numFmtId="14" fontId="0" fillId="17" borderId="77" xfId="0" applyNumberFormat="1" applyFill="1" applyBorder="1"/>
    <xf numFmtId="14" fontId="0" fillId="0" borderId="77" xfId="0" applyNumberFormat="1" applyBorder="1"/>
    <xf numFmtId="14" fontId="16" fillId="0" borderId="77" xfId="0" applyNumberFormat="1" applyFont="1" applyBorder="1"/>
    <xf numFmtId="0" fontId="9" fillId="17" borderId="77" xfId="0" applyFont="1" applyFill="1" applyBorder="1"/>
    <xf numFmtId="0" fontId="10" fillId="17" borderId="77" xfId="0" applyFont="1" applyFill="1" applyBorder="1"/>
    <xf numFmtId="16" fontId="10" fillId="17" borderId="77" xfId="0" applyNumberFormat="1" applyFont="1" applyFill="1" applyBorder="1"/>
    <xf numFmtId="0" fontId="10" fillId="17" borderId="87" xfId="0" applyFont="1" applyFill="1" applyBorder="1"/>
    <xf numFmtId="14" fontId="34" fillId="17" borderId="77" xfId="0" applyNumberFormat="1" applyFont="1" applyFill="1" applyBorder="1"/>
    <xf numFmtId="0" fontId="9" fillId="17" borderId="3" xfId="0" applyFont="1" applyFill="1" applyBorder="1"/>
    <xf numFmtId="0" fontId="4" fillId="0" borderId="77" xfId="0" applyFont="1" applyBorder="1"/>
    <xf numFmtId="0" fontId="0" fillId="17" borderId="5" xfId="0" applyFill="1" applyBorder="1"/>
    <xf numFmtId="0" fontId="8" fillId="17" borderId="5" xfId="0" applyFont="1" applyFill="1" applyBorder="1"/>
    <xf numFmtId="0" fontId="8" fillId="17" borderId="88" xfId="0" applyFont="1" applyFill="1" applyBorder="1"/>
    <xf numFmtId="0" fontId="0" fillId="17" borderId="1" xfId="0" applyFill="1" applyBorder="1"/>
    <xf numFmtId="0" fontId="33" fillId="7" borderId="79" xfId="0" applyFont="1" applyFill="1" applyBorder="1" applyAlignment="1">
      <alignment horizontal="center"/>
    </xf>
    <xf numFmtId="0" fontId="33" fillId="7" borderId="80" xfId="0" applyFont="1" applyFill="1" applyBorder="1" applyAlignment="1">
      <alignment horizontal="center"/>
    </xf>
    <xf numFmtId="0" fontId="33" fillId="7" borderId="81" xfId="0" applyFont="1" applyFill="1" applyBorder="1" applyAlignment="1">
      <alignment horizontal="center"/>
    </xf>
    <xf numFmtId="0" fontId="33" fillId="7" borderId="82" xfId="0" applyFont="1" applyFill="1" applyBorder="1" applyAlignment="1">
      <alignment horizontal="center"/>
    </xf>
    <xf numFmtId="0" fontId="33" fillId="7" borderId="83" xfId="0" applyFont="1" applyFill="1" applyBorder="1" applyAlignment="1">
      <alignment horizontal="center"/>
    </xf>
    <xf numFmtId="0" fontId="33" fillId="7" borderId="84" xfId="0" applyFont="1" applyFill="1" applyBorder="1" applyAlignment="1">
      <alignment horizontal="center"/>
    </xf>
    <xf numFmtId="0" fontId="19" fillId="7" borderId="0" xfId="0" applyFont="1" applyFill="1" applyAlignment="1">
      <alignment horizontal="right" vertical="center"/>
    </xf>
    <xf numFmtId="0" fontId="19" fillId="7" borderId="0" xfId="0" applyFont="1" applyFill="1" applyAlignment="1">
      <alignment horizontal="left" vertical="center"/>
    </xf>
    <xf numFmtId="0" fontId="21" fillId="10" borderId="21" xfId="1" applyFont="1" applyFill="1" applyBorder="1" applyAlignment="1">
      <alignment vertical="center"/>
    </xf>
    <xf numFmtId="0" fontId="21" fillId="10" borderId="22" xfId="1" applyFont="1" applyFill="1" applyBorder="1" applyAlignment="1">
      <alignment vertical="center"/>
    </xf>
    <xf numFmtId="0" fontId="21" fillId="10" borderId="22" xfId="1" applyFont="1" applyFill="1" applyBorder="1" applyAlignment="1">
      <alignment horizontal="right" vertical="center"/>
    </xf>
    <xf numFmtId="0" fontId="21" fillId="10" borderId="23" xfId="1" applyFont="1" applyFill="1" applyBorder="1" applyAlignment="1">
      <alignment horizontal="right" vertical="center"/>
    </xf>
    <xf numFmtId="0" fontId="21" fillId="11" borderId="63" xfId="1" applyFont="1" applyFill="1" applyBorder="1" applyAlignment="1">
      <alignment horizontal="left"/>
    </xf>
    <xf numFmtId="0" fontId="21" fillId="11" borderId="64" xfId="1" applyFont="1" applyFill="1" applyBorder="1" applyAlignment="1">
      <alignment horizontal="left"/>
    </xf>
    <xf numFmtId="0" fontId="21" fillId="11" borderId="65" xfId="1" applyFont="1" applyFill="1" applyBorder="1" applyAlignment="1">
      <alignment horizontal="left"/>
    </xf>
    <xf numFmtId="0" fontId="21" fillId="11" borderId="66" xfId="1" applyFont="1" applyFill="1" applyBorder="1" applyAlignment="1">
      <alignment horizontal="right"/>
    </xf>
    <xf numFmtId="0" fontId="21" fillId="11" borderId="64" xfId="1" applyFont="1" applyFill="1" applyBorder="1" applyAlignment="1">
      <alignment horizontal="right"/>
    </xf>
    <xf numFmtId="0" fontId="21" fillId="11" borderId="67" xfId="1" applyFont="1" applyFill="1" applyBorder="1" applyAlignment="1">
      <alignment horizontal="right"/>
    </xf>
    <xf numFmtId="0" fontId="30" fillId="8" borderId="8" xfId="1" applyFont="1" applyFill="1" applyBorder="1" applyAlignment="1">
      <alignment horizontal="left" vertical="center" indent="4"/>
    </xf>
    <xf numFmtId="0" fontId="30" fillId="8" borderId="9" xfId="1" applyFont="1" applyFill="1" applyBorder="1" applyAlignment="1">
      <alignment horizontal="left" vertical="center" indent="4"/>
    </xf>
    <xf numFmtId="0" fontId="30" fillId="8" borderId="10" xfId="1" applyFont="1" applyFill="1" applyBorder="1" applyAlignment="1">
      <alignment horizontal="left" vertical="center" indent="4"/>
    </xf>
    <xf numFmtId="0" fontId="31" fillId="9" borderId="8" xfId="1" applyFont="1" applyFill="1" applyBorder="1" applyAlignment="1">
      <alignment horizontal="left" vertical="center"/>
    </xf>
    <xf numFmtId="0" fontId="31" fillId="9" borderId="9" xfId="1" applyFont="1" applyFill="1" applyBorder="1" applyAlignment="1">
      <alignment horizontal="left" vertical="center"/>
    </xf>
    <xf numFmtId="0" fontId="31" fillId="9" borderId="10" xfId="1" applyFont="1" applyFill="1" applyBorder="1" applyAlignment="1">
      <alignment horizontal="left" vertical="center"/>
    </xf>
    <xf numFmtId="0" fontId="21" fillId="10" borderId="16" xfId="1" applyFont="1" applyFill="1" applyBorder="1" applyAlignment="1">
      <alignment vertical="center"/>
    </xf>
    <xf numFmtId="0" fontId="21" fillId="10" borderId="15" xfId="1" applyFont="1" applyFill="1" applyBorder="1" applyAlignment="1">
      <alignment vertical="center"/>
    </xf>
    <xf numFmtId="0" fontId="21" fillId="10" borderId="15" xfId="1" applyFont="1" applyFill="1" applyBorder="1" applyAlignment="1">
      <alignment horizontal="right" vertical="center"/>
    </xf>
    <xf numFmtId="0" fontId="21" fillId="10" borderId="17" xfId="1" applyFont="1" applyFill="1" applyBorder="1" applyAlignment="1">
      <alignment horizontal="right" vertical="center"/>
    </xf>
    <xf numFmtId="0" fontId="22" fillId="0" borderId="50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12" borderId="12" xfId="0" applyFont="1" applyFill="1" applyBorder="1" applyAlignment="1">
      <alignment horizontal="center"/>
    </xf>
    <xf numFmtId="0" fontId="22" fillId="12" borderId="13" xfId="0" applyFont="1" applyFill="1" applyBorder="1" applyAlignment="1">
      <alignment horizontal="center"/>
    </xf>
    <xf numFmtId="0" fontId="22" fillId="12" borderId="49" xfId="0" applyFont="1" applyFill="1" applyBorder="1" applyAlignment="1">
      <alignment horizontal="center"/>
    </xf>
    <xf numFmtId="0" fontId="22" fillId="0" borderId="11" xfId="0" applyFont="1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22" fillId="0" borderId="68" xfId="0" applyFont="1" applyBorder="1" applyAlignment="1">
      <alignment horizontal="left"/>
    </xf>
    <xf numFmtId="0" fontId="22" fillId="0" borderId="69" xfId="0" applyFont="1" applyBorder="1" applyAlignment="1">
      <alignment horizontal="left"/>
    </xf>
    <xf numFmtId="0" fontId="22" fillId="0" borderId="69" xfId="0" applyFont="1" applyBorder="1" applyAlignment="1">
      <alignment horizontal="right"/>
    </xf>
    <xf numFmtId="0" fontId="22" fillId="0" borderId="70" xfId="0" applyFont="1" applyBorder="1" applyAlignment="1">
      <alignment horizontal="right"/>
    </xf>
    <xf numFmtId="0" fontId="21" fillId="11" borderId="50" xfId="1" applyFont="1" applyFill="1" applyBorder="1" applyAlignment="1">
      <alignment horizontal="left" vertical="center"/>
    </xf>
    <xf numFmtId="0" fontId="21" fillId="11" borderId="13" xfId="1" applyFont="1" applyFill="1" applyBorder="1" applyAlignment="1">
      <alignment horizontal="left" vertical="center"/>
    </xf>
    <xf numFmtId="0" fontId="21" fillId="11" borderId="14" xfId="1" applyFont="1" applyFill="1" applyBorder="1" applyAlignment="1">
      <alignment horizontal="left" vertical="center"/>
    </xf>
    <xf numFmtId="14" fontId="21" fillId="11" borderId="12" xfId="1" applyNumberFormat="1" applyFont="1" applyFill="1" applyBorder="1" applyAlignment="1">
      <alignment horizontal="right" vertical="center"/>
    </xf>
    <xf numFmtId="14" fontId="21" fillId="11" borderId="13" xfId="1" applyNumberFormat="1" applyFont="1" applyFill="1" applyBorder="1" applyAlignment="1">
      <alignment horizontal="right" vertical="center"/>
    </xf>
    <xf numFmtId="14" fontId="21" fillId="11" borderId="49" xfId="1" applyNumberFormat="1" applyFont="1" applyFill="1" applyBorder="1" applyAlignment="1">
      <alignment horizontal="right" vertical="center"/>
    </xf>
    <xf numFmtId="0" fontId="21" fillId="0" borderId="12" xfId="1" applyFont="1" applyBorder="1" applyAlignment="1">
      <alignment horizontal="right" wrapText="1"/>
    </xf>
    <xf numFmtId="0" fontId="21" fillId="0" borderId="13" xfId="1" applyFont="1" applyBorder="1" applyAlignment="1">
      <alignment horizontal="right"/>
    </xf>
    <xf numFmtId="0" fontId="21" fillId="0" borderId="49" xfId="1" applyFont="1" applyBorder="1" applyAlignment="1">
      <alignment horizontal="right"/>
    </xf>
    <xf numFmtId="0" fontId="22" fillId="0" borderId="18" xfId="0" applyFont="1" applyBorder="1" applyAlignment="1">
      <alignment horizontal="left"/>
    </xf>
    <xf numFmtId="0" fontId="22" fillId="0" borderId="19" xfId="0" applyFont="1" applyBorder="1" applyAlignment="1">
      <alignment horizontal="left"/>
    </xf>
    <xf numFmtId="14" fontId="22" fillId="0" borderId="19" xfId="0" applyNumberFormat="1" applyFont="1" applyBorder="1" applyAlignment="1">
      <alignment horizontal="right"/>
    </xf>
    <xf numFmtId="14" fontId="22" fillId="0" borderId="20" xfId="0" applyNumberFormat="1" applyFont="1" applyBorder="1" applyAlignment="1">
      <alignment horizontal="right"/>
    </xf>
    <xf numFmtId="14" fontId="21" fillId="10" borderId="15" xfId="1" applyNumberFormat="1" applyFont="1" applyFill="1" applyBorder="1" applyAlignment="1">
      <alignment horizontal="right" vertical="center"/>
    </xf>
    <xf numFmtId="14" fontId="21" fillId="10" borderId="17" xfId="1" applyNumberFormat="1" applyFont="1" applyFill="1" applyBorder="1" applyAlignment="1">
      <alignment horizontal="right" vertical="center"/>
    </xf>
    <xf numFmtId="0" fontId="22" fillId="0" borderId="29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0" fontId="29" fillId="2" borderId="53" xfId="0" applyFont="1" applyFill="1" applyBorder="1" applyAlignment="1">
      <alignment horizontal="left"/>
    </xf>
    <xf numFmtId="0" fontId="29" fillId="2" borderId="54" xfId="0" applyFont="1" applyFill="1" applyBorder="1" applyAlignment="1">
      <alignment horizontal="left"/>
    </xf>
    <xf numFmtId="0" fontId="29" fillId="2" borderId="55" xfId="0" applyFont="1" applyFill="1" applyBorder="1" applyAlignment="1">
      <alignment horizontal="left"/>
    </xf>
    <xf numFmtId="0" fontId="29" fillId="2" borderId="56" xfId="0" applyFont="1" applyFill="1" applyBorder="1" applyAlignment="1">
      <alignment horizontal="right"/>
    </xf>
    <xf numFmtId="0" fontId="29" fillId="2" borderId="54" xfId="0" applyFont="1" applyFill="1" applyBorder="1" applyAlignment="1">
      <alignment horizontal="right"/>
    </xf>
    <xf numFmtId="0" fontId="29" fillId="2" borderId="57" xfId="0" applyFont="1" applyFill="1" applyBorder="1" applyAlignment="1">
      <alignment horizontal="right"/>
    </xf>
    <xf numFmtId="0" fontId="22" fillId="2" borderId="31" xfId="0" applyFont="1" applyFill="1" applyBorder="1" applyAlignment="1">
      <alignment horizontal="left"/>
    </xf>
    <xf numFmtId="0" fontId="22" fillId="2" borderId="24" xfId="0" applyFont="1" applyFill="1" applyBorder="1" applyAlignment="1">
      <alignment horizontal="left"/>
    </xf>
    <xf numFmtId="0" fontId="25" fillId="10" borderId="24" xfId="1" applyFont="1" applyFill="1" applyBorder="1" applyAlignment="1">
      <alignment horizontal="right" vertical="center" wrapText="1"/>
    </xf>
    <xf numFmtId="0" fontId="25" fillId="10" borderId="24" xfId="1" applyFont="1" applyFill="1" applyBorder="1" applyAlignment="1">
      <alignment horizontal="right" vertical="center"/>
    </xf>
    <xf numFmtId="0" fontId="25" fillId="10" borderId="32" xfId="1" applyFont="1" applyFill="1" applyBorder="1" applyAlignment="1">
      <alignment horizontal="right" vertical="center"/>
    </xf>
    <xf numFmtId="0" fontId="28" fillId="10" borderId="51" xfId="1" applyFont="1" applyFill="1" applyBorder="1" applyAlignment="1">
      <alignment horizontal="left"/>
    </xf>
    <xf numFmtId="0" fontId="28" fillId="10" borderId="52" xfId="1" applyFont="1" applyFill="1" applyBorder="1" applyAlignment="1">
      <alignment horizontal="left"/>
    </xf>
    <xf numFmtId="0" fontId="28" fillId="10" borderId="7" xfId="1" applyFont="1" applyFill="1" applyBorder="1" applyAlignment="1">
      <alignment horizontal="left"/>
    </xf>
    <xf numFmtId="0" fontId="28" fillId="10" borderId="71" xfId="1" applyFont="1" applyFill="1" applyBorder="1" applyAlignment="1">
      <alignment horizontal="right"/>
    </xf>
    <xf numFmtId="0" fontId="28" fillId="10" borderId="72" xfId="1" applyFont="1" applyFill="1" applyBorder="1" applyAlignment="1">
      <alignment horizontal="right"/>
    </xf>
    <xf numFmtId="0" fontId="28" fillId="10" borderId="73" xfId="1" applyFont="1" applyFill="1" applyBorder="1" applyAlignment="1">
      <alignment horizontal="right"/>
    </xf>
    <xf numFmtId="14" fontId="30" fillId="8" borderId="38" xfId="1" applyNumberFormat="1" applyFont="1" applyFill="1" applyBorder="1" applyAlignment="1">
      <alignment horizontal="left" vertical="center" indent="1"/>
    </xf>
    <xf numFmtId="14" fontId="30" fillId="8" borderId="0" xfId="1" applyNumberFormat="1" applyFont="1" applyFill="1" applyAlignment="1">
      <alignment horizontal="left" vertical="center" indent="1"/>
    </xf>
    <xf numFmtId="14" fontId="30" fillId="8" borderId="39" xfId="1" applyNumberFormat="1" applyFont="1" applyFill="1" applyBorder="1" applyAlignment="1">
      <alignment horizontal="left" vertical="center" indent="1"/>
    </xf>
    <xf numFmtId="0" fontId="22" fillId="2" borderId="26" xfId="0" applyFont="1" applyFill="1" applyBorder="1" applyAlignment="1">
      <alignment horizontal="left"/>
    </xf>
    <xf numFmtId="0" fontId="22" fillId="2" borderId="27" xfId="0" applyFont="1" applyFill="1" applyBorder="1" applyAlignment="1">
      <alignment horizontal="left"/>
    </xf>
    <xf numFmtId="14" fontId="27" fillId="12" borderId="27" xfId="1" applyNumberFormat="1" applyFont="1" applyFill="1" applyBorder="1" applyAlignment="1">
      <alignment horizontal="center" vertical="center"/>
    </xf>
    <xf numFmtId="14" fontId="27" fillId="12" borderId="28" xfId="1" applyNumberFormat="1" applyFont="1" applyFill="1" applyBorder="1" applyAlignment="1">
      <alignment horizontal="center" vertical="center"/>
    </xf>
    <xf numFmtId="0" fontId="22" fillId="0" borderId="40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5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0" borderId="43" xfId="0" applyFont="1" applyBorder="1" applyAlignment="1">
      <alignment horizontal="right"/>
    </xf>
    <xf numFmtId="0" fontId="32" fillId="8" borderId="74" xfId="1" applyFont="1" applyFill="1" applyBorder="1" applyAlignment="1">
      <alignment horizontal="left" vertical="center" indent="1"/>
    </xf>
    <xf numFmtId="0" fontId="32" fillId="8" borderId="75" xfId="1" applyFont="1" applyFill="1" applyBorder="1" applyAlignment="1">
      <alignment horizontal="left" vertical="center" indent="1"/>
    </xf>
    <xf numFmtId="0" fontId="32" fillId="8" borderId="76" xfId="1" applyFont="1" applyFill="1" applyBorder="1" applyAlignment="1">
      <alignment horizontal="left" vertical="center" indent="1"/>
    </xf>
    <xf numFmtId="0" fontId="23" fillId="10" borderId="1" xfId="1" applyFont="1" applyFill="1" applyBorder="1" applyAlignment="1">
      <alignment horizontal="center" vertical="center" wrapText="1"/>
    </xf>
    <xf numFmtId="0" fontId="23" fillId="10" borderId="41" xfId="1" applyFont="1" applyFill="1" applyBorder="1" applyAlignment="1">
      <alignment horizontal="center" vertical="center" wrapText="1"/>
    </xf>
    <xf numFmtId="0" fontId="23" fillId="12" borderId="47" xfId="1" applyFont="1" applyFill="1" applyBorder="1" applyAlignment="1">
      <alignment horizontal="center" vertical="center" wrapText="1"/>
    </xf>
    <xf numFmtId="0" fontId="23" fillId="12" borderId="44" xfId="1" applyFont="1" applyFill="1" applyBorder="1" applyAlignment="1">
      <alignment horizontal="center" vertical="center" wrapText="1"/>
    </xf>
    <xf numFmtId="0" fontId="23" fillId="12" borderId="48" xfId="1" applyFont="1" applyFill="1" applyBorder="1" applyAlignment="1">
      <alignment horizontal="center" vertical="center" wrapText="1"/>
    </xf>
    <xf numFmtId="0" fontId="22" fillId="0" borderId="36" xfId="0" applyFont="1" applyBorder="1" applyAlignment="1">
      <alignment horizontal="right"/>
    </xf>
    <xf numFmtId="0" fontId="22" fillId="0" borderId="34" xfId="0" applyFont="1" applyBorder="1" applyAlignment="1">
      <alignment horizontal="right"/>
    </xf>
    <xf numFmtId="0" fontId="22" fillId="0" borderId="37" xfId="0" applyFont="1" applyBorder="1" applyAlignment="1">
      <alignment horizontal="right"/>
    </xf>
    <xf numFmtId="0" fontId="23" fillId="10" borderId="42" xfId="1" applyFont="1" applyFill="1" applyBorder="1" applyAlignment="1">
      <alignment vertical="center" wrapText="1"/>
    </xf>
    <xf numFmtId="0" fontId="23" fillId="10" borderId="25" xfId="1" applyFont="1" applyFill="1" applyBorder="1" applyAlignment="1">
      <alignment vertical="center" wrapText="1"/>
    </xf>
    <xf numFmtId="0" fontId="23" fillId="10" borderId="6" xfId="1" applyFont="1" applyFill="1" applyBorder="1" applyAlignment="1">
      <alignment vertical="center" wrapText="1"/>
    </xf>
    <xf numFmtId="14" fontId="24" fillId="10" borderId="5" xfId="1" applyNumberFormat="1" applyFont="1" applyFill="1" applyBorder="1" applyAlignment="1">
      <alignment horizontal="right" vertical="center"/>
    </xf>
    <xf numFmtId="14" fontId="25" fillId="10" borderId="25" xfId="1" applyNumberFormat="1" applyFont="1" applyFill="1" applyBorder="1" applyAlignment="1">
      <alignment horizontal="right" vertical="center"/>
    </xf>
    <xf numFmtId="14" fontId="25" fillId="10" borderId="43" xfId="1" applyNumberFormat="1" applyFont="1" applyFill="1" applyBorder="1" applyAlignment="1">
      <alignment horizontal="right" vertical="center"/>
    </xf>
    <xf numFmtId="0" fontId="22" fillId="0" borderId="58" xfId="0" applyFont="1" applyBorder="1" applyAlignment="1">
      <alignment vertical="center"/>
    </xf>
    <xf numFmtId="0" fontId="22" fillId="0" borderId="59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0" fontId="22" fillId="0" borderId="6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2" fillId="0" borderId="45" xfId="0" applyFont="1" applyBorder="1" applyAlignment="1"/>
    <xf numFmtId="0" fontId="22" fillId="0" borderId="46" xfId="0" applyFont="1" applyBorder="1" applyAlignment="1"/>
    <xf numFmtId="0" fontId="26" fillId="0" borderId="33" xfId="0" applyFont="1" applyBorder="1" applyAlignment="1"/>
    <xf numFmtId="0" fontId="26" fillId="0" borderId="34" xfId="0" applyFont="1" applyBorder="1" applyAlignment="1"/>
    <xf numFmtId="0" fontId="26" fillId="0" borderId="35" xfId="0" applyFont="1" applyBorder="1" applyAlignment="1"/>
  </cellXfs>
  <cellStyles count="3">
    <cellStyle name="Hyperlink" xfId="2" builtinId="8"/>
    <cellStyle name="Normal" xfId="0" builtinId="0"/>
    <cellStyle name="Normal 2" xfId="1" xr:uid="{CAA14D4D-C7CD-4960-A10C-8ECF78A28F11}"/>
  </cellStyles>
  <dxfs count="16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1E8541"/>
      <color rgb="FFDDEBF7"/>
      <color rgb="FFF2F2F2"/>
      <color rgb="FFF291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180975</xdr:rowOff>
    </xdr:from>
    <xdr:to>
      <xdr:col>17</xdr:col>
      <xdr:colOff>47625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18A55-0934-3164-8243-0706270DB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180975"/>
          <a:ext cx="8839200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4</xdr:row>
      <xdr:rowOff>19050</xdr:rowOff>
    </xdr:from>
    <xdr:to>
      <xdr:col>4</xdr:col>
      <xdr:colOff>438150</xdr:colOff>
      <xdr:row>7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3041B8-064E-591D-A183-E945B33E84BA}"/>
            </a:ext>
            <a:ext uri="{147F2762-F138-4A5C-976F-8EAC2B608ADB}">
              <a16:predDERef xmlns:a16="http://schemas.microsoft.com/office/drawing/2014/main" pred="{CEA18A55-0934-3164-8243-0706270DB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2650" y="781050"/>
          <a:ext cx="723900" cy="73342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9</xdr:row>
      <xdr:rowOff>0</xdr:rowOff>
    </xdr:from>
    <xdr:to>
      <xdr:col>2</xdr:col>
      <xdr:colOff>409575</xdr:colOff>
      <xdr:row>9</xdr:row>
      <xdr:rowOff>285750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43C305-C7D5-FA7F-88BC-C56876AB6FB7}"/>
            </a:ext>
            <a:ext uri="{147F2762-F138-4A5C-976F-8EAC2B608ADB}">
              <a16:predDERef xmlns:a16="http://schemas.microsoft.com/office/drawing/2014/main" pred="{833041B8-064E-591D-A183-E945B33E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" y="1600200"/>
          <a:ext cx="352425" cy="28575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9</xdr:row>
      <xdr:rowOff>0</xdr:rowOff>
    </xdr:from>
    <xdr:to>
      <xdr:col>10</xdr:col>
      <xdr:colOff>371475</xdr:colOff>
      <xdr:row>10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A92081-E5EB-DB7A-C238-60ABE6507F6F}"/>
            </a:ext>
            <a:ext uri="{147F2762-F138-4A5C-976F-8EAC2B608ADB}">
              <a16:predDERef xmlns:a16="http://schemas.microsoft.com/office/drawing/2014/main" pred="{C843C305-C7D5-FA7F-88BC-C56876AB6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24525" y="1600200"/>
          <a:ext cx="342900" cy="2952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16</xdr:row>
      <xdr:rowOff>123825</xdr:rowOff>
    </xdr:from>
    <xdr:to>
      <xdr:col>2</xdr:col>
      <xdr:colOff>390525</xdr:colOff>
      <xdr:row>17</xdr:row>
      <xdr:rowOff>285750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F41C7DA6-DD0A-EFB4-A9DA-664E230F2D03}"/>
            </a:ext>
            <a:ext uri="{147F2762-F138-4A5C-976F-8EAC2B608ADB}">
              <a16:predDERef xmlns:a16="http://schemas.microsoft.com/office/drawing/2014/main" pred="{36A92081-E5EB-DB7A-C238-60ABE650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" y="3448050"/>
          <a:ext cx="333375" cy="29527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17</xdr:row>
      <xdr:rowOff>0</xdr:rowOff>
    </xdr:from>
    <xdr:to>
      <xdr:col>10</xdr:col>
      <xdr:colOff>371475</xdr:colOff>
      <xdr:row>18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6819EA-BB71-4E9C-9DD3-58F4CA770C27}"/>
            </a:ext>
            <a:ext uri="{147F2762-F138-4A5C-976F-8EAC2B608ADB}">
              <a16:predDERef xmlns:a16="http://schemas.microsoft.com/office/drawing/2014/main" pred="{F41C7DA6-DD0A-EFB4-A9DA-664E230F2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34050" y="3324225"/>
          <a:ext cx="333375" cy="295275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0</xdr:row>
      <xdr:rowOff>123825</xdr:rowOff>
    </xdr:from>
    <xdr:to>
      <xdr:col>17</xdr:col>
      <xdr:colOff>104775</xdr:colOff>
      <xdr:row>23</xdr:row>
      <xdr:rowOff>133350</xdr:rowOff>
    </xdr:to>
    <xdr:sp macro="" textlink="">
      <xdr:nvSpPr>
        <xdr:cNvPr id="12" name="Rectangle 7">
          <a:extLst>
            <a:ext uri="{FF2B5EF4-FFF2-40B4-BE49-F238E27FC236}">
              <a16:creationId xmlns:a16="http://schemas.microsoft.com/office/drawing/2014/main" id="{9CFE8E7A-BAE7-4D93-B7FB-8C4D66228FAF}"/>
            </a:ext>
            <a:ext uri="{147F2762-F138-4A5C-976F-8EAC2B608ADB}">
              <a16:predDERef xmlns:a16="http://schemas.microsoft.com/office/drawing/2014/main" pred="{B36819EA-BB71-4E9C-9DD3-58F4CA770C27}"/>
            </a:ext>
          </a:extLst>
        </xdr:cNvPr>
        <xdr:cNvSpPr/>
      </xdr:nvSpPr>
      <xdr:spPr>
        <a:xfrm>
          <a:off x="1114425" y="123825"/>
          <a:ext cx="8953500" cy="4829175"/>
        </a:xfrm>
        <a:prstGeom prst="rect">
          <a:avLst/>
        </a:prstGeom>
        <a:noFill/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3A7431-6EB3-4632-AEDB-B9D4BC399EC8}" name="Table4" displayName="Table4" ref="B1:DC67" totalsRowShown="0" headerRowDxfId="126" dataDxfId="125" headerRowBorderDxfId="123" tableBorderDxfId="124">
  <autoFilter ref="B1:DC67" xr:uid="{893A7431-6EB3-4632-AEDB-B9D4BC399EC8}"/>
  <tableColumns count="106">
    <tableColumn id="1" xr3:uid="{31631BB0-0EE2-40AF-8B39-D8545132DFCD}" name="Staff" dataDxfId="122"/>
    <tableColumn id="2" xr3:uid="{8E45505C-9194-45D1-8D87-1558F8B0DFD4}" name="Name" dataDxfId="121"/>
    <tableColumn id="3" xr3:uid="{8BAD8F23-AF8F-4E08-BD48-2621FE1E63CD}" name="Course" dataDxfId="120"/>
    <tableColumn id="4" xr3:uid="{79AEB546-1D53-4996-AC74-0D71E6729B1A}" name="6-Jul" dataDxfId="119"/>
    <tableColumn id="5" xr3:uid="{CE4F54AD-1CEB-44EE-831A-6B7992A5D4AE}" name="7-Jul" dataDxfId="118"/>
    <tableColumn id="6" xr3:uid="{0587620A-EF56-438C-8CB0-62EB679E066B}" name="8-Jul" dataDxfId="117"/>
    <tableColumn id="7" xr3:uid="{2F45AB36-F727-468D-AC5E-7CE97E3D33F8}" name="9-Jul" dataDxfId="116"/>
    <tableColumn id="8" xr3:uid="{D0C7408E-A377-434D-80A7-E7270A178535}" name="10-Jul" dataDxfId="115"/>
    <tableColumn id="9" xr3:uid="{60F0FAA5-363D-4373-BEB4-CF1EB6CFDBE4}" name="13-Jul" dataDxfId="114"/>
    <tableColumn id="10" xr3:uid="{5CD2DEED-E992-48B6-B64B-1158EB5DB4D5}" name="14-Jul" dataDxfId="113"/>
    <tableColumn id="11" xr3:uid="{D2027E60-6DEE-4FAD-A4BD-6750D5DF6164}" name="15-Jul" dataDxfId="112"/>
    <tableColumn id="12" xr3:uid="{64C4B147-A35B-4DB5-9014-CCDE077A9930}" name="16-Jul" dataDxfId="111"/>
    <tableColumn id="13" xr3:uid="{72D7D2EB-1D59-44ED-A64A-5D9AFCC76DDE}" name="17-Jul" dataDxfId="110"/>
    <tableColumn id="14" xr3:uid="{0EDB0302-7A0B-43B7-A5A5-381A49245391}" name="20-Jul" dataDxfId="109"/>
    <tableColumn id="15" xr3:uid="{4B14FA37-C795-4DD7-A3AC-4EB4D2C3A53D}" name="21-Jul" dataDxfId="108"/>
    <tableColumn id="16" xr3:uid="{2E6204C1-0DD0-4959-B82C-2B5B1DE89128}" name="22-Jul" dataDxfId="107"/>
    <tableColumn id="17" xr3:uid="{7119E862-CC45-4FCB-8C4B-257F43F2D2C2}" name="23-Jul" dataDxfId="106"/>
    <tableColumn id="18" xr3:uid="{27EC5DEE-B52D-4133-9F82-D97E1B7860C5}" name="24-Jul" dataDxfId="105"/>
    <tableColumn id="21" xr3:uid="{96D81092-0038-4586-B389-4D48A91FBD34}" name="27-Jul" dataDxfId="104"/>
    <tableColumn id="22" xr3:uid="{5C73411C-898C-44E7-8316-6C4EEAD1595E}" name="28-Jul" dataDxfId="103"/>
    <tableColumn id="23" xr3:uid="{83EDF829-BD45-49BA-A898-BBDBDE5EAE92}" name="29-Jul" dataDxfId="102"/>
    <tableColumn id="24" xr3:uid="{04C726A9-203D-48A8-B59F-DF19AF1A6F81}" name="30-Jul" dataDxfId="101"/>
    <tableColumn id="25" xr3:uid="{BC915D9D-DD03-44FC-8083-162D6C78CA72}" name="31-Jul" dataDxfId="100"/>
    <tableColumn id="28" xr3:uid="{1D12F593-0EFA-40F7-945E-0E6492A74023}" name="3-Aug" dataDxfId="99"/>
    <tableColumn id="29" xr3:uid="{11D25747-BFC2-476B-97F4-B60D251C68F6}" name="4-Aug" dataDxfId="98"/>
    <tableColumn id="30" xr3:uid="{05DBF79C-AE5B-488A-BB51-705DBCBCB57F}" name="5-Aug" dataDxfId="97"/>
    <tableColumn id="31" xr3:uid="{9A32F171-46A1-4448-97D7-0ACE36D6F8FF}" name="6-Aug" dataDxfId="96"/>
    <tableColumn id="32" xr3:uid="{6E19752E-9BD6-43A3-B26F-0ACA904D255F}" name="7-Aug" dataDxfId="95"/>
    <tableColumn id="35" xr3:uid="{3842EE08-9417-42F8-BCB0-4D3485935395}" name="10-Aug" dataDxfId="94"/>
    <tableColumn id="36" xr3:uid="{2AC156B4-AAD5-4064-98B6-6558FE0B99FD}" name="11-Aug" dataDxfId="93"/>
    <tableColumn id="37" xr3:uid="{DD28A716-DF16-460E-A7F9-C36825B6AB78}" name="12-Aug" dataDxfId="92"/>
    <tableColumn id="38" xr3:uid="{6A76A117-D6C9-425A-BDAB-79914B261A46}" name="13-Aug" dataDxfId="91"/>
    <tableColumn id="39" xr3:uid="{DEE2C342-E6BF-4E05-AC17-1164748B88B6}" name="14-Aug" dataDxfId="90"/>
    <tableColumn id="42" xr3:uid="{DD94E00C-6014-435E-AAA3-C90FE96B578B}" name="17-Aug" dataDxfId="89"/>
    <tableColumn id="43" xr3:uid="{11FB2F31-0377-485E-9B2C-116777395FEE}" name="18-Aug" dataDxfId="88"/>
    <tableColumn id="44" xr3:uid="{0CB19AB0-CF4F-46D8-BB10-83224B35264A}" name="19-Aug" dataDxfId="87"/>
    <tableColumn id="45" xr3:uid="{CDF2A41A-ADDF-4161-9B35-BD179B08A82E}" name="20-Aug" dataDxfId="86"/>
    <tableColumn id="46" xr3:uid="{2A06F990-E9D8-4A60-BFCC-C4468421E7AB}" name="21-Aug" dataDxfId="85"/>
    <tableColumn id="49" xr3:uid="{03DC69B9-D5B6-40D2-86E6-25A7265B1FC8}" name="24-Aug" dataDxfId="84"/>
    <tableColumn id="50" xr3:uid="{E8CA7E9E-565A-4E04-82E2-1278FB73BBE1}" name="25-Aug" dataDxfId="83"/>
    <tableColumn id="56" xr3:uid="{25753B51-932E-4378-82BB-4E9F726EF827}" name="31-Aug" dataDxfId="82"/>
    <tableColumn id="57" xr3:uid="{664A04F0-3630-4E4F-B0B2-D23E45CE5693}" name="1-Sep" dataDxfId="81"/>
    <tableColumn id="58" xr3:uid="{909C9C6A-F4B7-4120-BDB8-58AD5D9BC557}" name="2-Sep" dataDxfId="80"/>
    <tableColumn id="59" xr3:uid="{527F5BA1-7A55-4BCC-9B37-4C50D3295896}" name="3-Sep" dataDxfId="79"/>
    <tableColumn id="60" xr3:uid="{AFF50DD4-BBA1-404B-ADE5-7ECA56521BCF}" name="4-Sep" dataDxfId="78"/>
    <tableColumn id="61" xr3:uid="{A34D68DE-3763-4A5D-B899-2C905D995C4A}" name="5-Sep" dataDxfId="77"/>
    <tableColumn id="62" xr3:uid="{A21AFEEF-D2E8-460E-9C74-A5B710009D86}" name="6-Sep" dataDxfId="76"/>
    <tableColumn id="63" xr3:uid="{68C521FA-58B5-45BC-B04A-AB09E55B63EB}" name="7-Sep" dataDxfId="75"/>
    <tableColumn id="64" xr3:uid="{6FAE1529-DF75-4EF7-BB28-8DED47D7720B}" name="8-Sep" dataDxfId="74"/>
    <tableColumn id="65" xr3:uid="{124CBF48-BCFC-4D9E-931D-5517D39B26A4}" name="9-Sep" dataDxfId="73"/>
    <tableColumn id="66" xr3:uid="{05CDFD12-0C42-4E4E-9B04-BFFA13239F1A}" name="10-Sep" dataDxfId="72"/>
    <tableColumn id="67" xr3:uid="{D151DFE9-477B-4748-AD72-2B6BF60AAFFC}" name="11-Sep" dataDxfId="71"/>
    <tableColumn id="68" xr3:uid="{2CCB57F6-BC6C-44E4-AF14-AFBE3E87FDAA}" name="12-Sep" dataDxfId="70"/>
    <tableColumn id="69" xr3:uid="{EF5B49F5-FF8F-477A-9D75-6A7B74600B86}" name="13-Sep" dataDxfId="69"/>
    <tableColumn id="70" xr3:uid="{F568A394-100A-4770-B06E-1DD201D2E248}" name="14-Sep" dataDxfId="68"/>
    <tableColumn id="71" xr3:uid="{6EE28931-D54F-4460-B744-9E551F4CE679}" name="15-Sep" dataDxfId="67"/>
    <tableColumn id="72" xr3:uid="{815B606C-64C0-49CA-AB88-EF26F3C080DB}" name="16-Sep" dataDxfId="66"/>
    <tableColumn id="73" xr3:uid="{C2E45089-7C1F-4115-AE21-DC6B6ABCAFA2}" name="17-Sep" dataDxfId="65"/>
    <tableColumn id="74" xr3:uid="{FB9F7DB9-5172-4D83-B49A-BACA4DF6E289}" name="18-Sep" dataDxfId="64"/>
    <tableColumn id="75" xr3:uid="{B89640DF-A371-463A-ACAC-95C2CE311C19}" name="19-Sep" dataDxfId="63"/>
    <tableColumn id="76" xr3:uid="{B320F6F1-0E5D-45ED-9635-E6F7714ED114}" name="20-Sep" dataDxfId="62"/>
    <tableColumn id="77" xr3:uid="{1BA5865A-32B0-401A-9B3F-6FE1C995CF02}" name="21-Sep" dataDxfId="61"/>
    <tableColumn id="78" xr3:uid="{7AFB74F4-35AB-4793-8998-1FF79ACCD66E}" name="22-Sep" dataDxfId="60"/>
    <tableColumn id="79" xr3:uid="{C4665FFA-6356-49F3-9F37-C91D78B33CA6}" name="23-Sep" dataDxfId="59"/>
    <tableColumn id="80" xr3:uid="{7B6935A7-867C-4A54-B843-F4E4BC4E6699}" name="24-Sep" dataDxfId="58"/>
    <tableColumn id="81" xr3:uid="{A2F1944E-6A0F-4DC2-9B6B-20E9AE4D90AC}" name="25-Sep" dataDxfId="57"/>
    <tableColumn id="82" xr3:uid="{A226E6A0-DB8B-466B-9D00-3B58E0227698}" name="26-Sep" dataDxfId="56"/>
    <tableColumn id="83" xr3:uid="{2BB9DB72-5A57-4E8C-A2CB-CC353E55107B}" name="27-Sep" dataDxfId="55"/>
    <tableColumn id="84" xr3:uid="{7AD1E230-DDD4-42C0-B781-EA97464D1F11}" name="28-Sep" dataDxfId="54"/>
    <tableColumn id="85" xr3:uid="{E22CEB9A-8EFA-42B8-A891-EDC644D01470}" name="29-Sep" dataDxfId="53"/>
    <tableColumn id="86" xr3:uid="{BB27111E-1858-4BD2-BBE0-01B0A79ADC54}" name="30-Sep" dataDxfId="52"/>
    <tableColumn id="87" xr3:uid="{CA9CA2B9-F70A-4043-A76D-3E51B1B3B737}" name="1-Oct" dataDxfId="51"/>
    <tableColumn id="88" xr3:uid="{57ECBCBE-C7DE-415A-BE0B-3D108F91B4F9}" name="2-Oct" dataDxfId="50"/>
    <tableColumn id="89" xr3:uid="{89120635-59B0-4845-95BF-49D4C8FBF8B8}" name="3-Oct" dataDxfId="49"/>
    <tableColumn id="90" xr3:uid="{5E81E319-D6E8-4A7D-88E1-33A43CCD15D2}" name="4-Oct" dataDxfId="48"/>
    <tableColumn id="91" xr3:uid="{1B5FE318-EAF7-4E8E-931A-23C146F9375E}" name="5-Oct" dataDxfId="47"/>
    <tableColumn id="92" xr3:uid="{B08D9B3F-1106-4C6D-B7CC-055515795589}" name="6-Oct" dataDxfId="46"/>
    <tableColumn id="93" xr3:uid="{1F686CD4-897C-4A94-9844-8D78F3C5EBE5}" name="7-Oct" dataDxfId="45"/>
    <tableColumn id="94" xr3:uid="{B64CD25D-0E23-4BCE-9DD0-A566EB2DB48F}" name="8-Oct" dataDxfId="44"/>
    <tableColumn id="95" xr3:uid="{AC6593F7-CA61-4EC2-9E60-F606D97BBFC7}" name="9-Oct" dataDxfId="43"/>
    <tableColumn id="96" xr3:uid="{44A363C4-932E-4D4B-8DEF-820920CE52CE}" name="10-Oct" dataDxfId="42"/>
    <tableColumn id="97" xr3:uid="{51D5866E-ABE6-4AD9-B0CE-EC4454D93E72}" name="11-Oct" dataDxfId="41"/>
    <tableColumn id="98" xr3:uid="{3E5FDA37-06DB-42FB-9182-296AE7A17A99}" name="12-Oct" dataDxfId="40"/>
    <tableColumn id="99" xr3:uid="{B951C5A1-92EC-4A8F-8D2D-E2171A32C6FE}" name="13-Oct" dataDxfId="39"/>
    <tableColumn id="100" xr3:uid="{0EA65950-DC9D-4CE1-9D09-821346CA79F0}" name="14-Oct" dataDxfId="38"/>
    <tableColumn id="101" xr3:uid="{035157C0-656D-418A-9400-815FC0F36D14}" name="15-Oct" dataDxfId="37"/>
    <tableColumn id="102" xr3:uid="{5E3971A9-9AC6-4987-9D77-7CD398F12886}" name="16-Oct" dataDxfId="36"/>
    <tableColumn id="103" xr3:uid="{D68DB61A-772C-4D85-A346-F5E21A067847}" name="17-Oct" dataDxfId="35"/>
    <tableColumn id="104" xr3:uid="{FD74AC10-3A55-4180-8265-AF9E05DB880A}" name="18-Oct" dataDxfId="34"/>
    <tableColumn id="105" xr3:uid="{8DAC38AD-043F-44DF-8F5F-A57C643A35C2}" name="19-Oct" dataDxfId="33"/>
    <tableColumn id="106" xr3:uid="{5AA83025-560A-464D-8D6D-D25EE18240E4}" name="20-Oct" dataDxfId="32"/>
    <tableColumn id="107" xr3:uid="{C2C8F509-37E3-43C2-9BE9-409F1A49B780}" name="21-Oct" dataDxfId="31"/>
    <tableColumn id="108" xr3:uid="{B610B198-D00E-4E56-AEAE-C9A7691A7B4D}" name="22-Oct" dataDxfId="30"/>
    <tableColumn id="109" xr3:uid="{3AEBE4CF-F975-4772-9642-DD5916719CA4}" name="23-Oct" dataDxfId="29"/>
    <tableColumn id="110" xr3:uid="{EC7673D9-EEAA-47A3-80E9-7467BDA77369}" name="24-Oct" dataDxfId="28"/>
    <tableColumn id="111" xr3:uid="{B152E7E4-835E-4831-AE72-EE6D8FBBE031}" name="25-Oct" dataDxfId="27"/>
    <tableColumn id="112" xr3:uid="{5D4071D1-A16E-4171-958F-ABB3BC6BDB63}" name="26-Oct" dataDxfId="26"/>
    <tableColumn id="113" xr3:uid="{26234D44-60B0-4779-8C63-F67875E90EE6}" name="27-Oct" dataDxfId="25"/>
    <tableColumn id="114" xr3:uid="{E7DD5411-3558-4C2E-ACAD-1187FF39C646}" name="28-Oct" dataDxfId="24"/>
    <tableColumn id="115" xr3:uid="{3A8760E5-59B0-42EF-83A7-A8BC9AAE2D3B}" name="29-Oct" dataDxfId="23"/>
    <tableColumn id="116" xr3:uid="{0AA75DCA-FF0F-4F09-9789-1073F5D2B7C7}" name="30-Oct" dataDxfId="22"/>
    <tableColumn id="117" xr3:uid="{4255FED1-44CD-43E6-865D-602B9F75DF84}" name="31-Oct" dataDxfId="21"/>
    <tableColumn id="118" xr3:uid="{846D3E4E-CEDE-4E1D-B73D-7AA7C357BF92}" name="1-Nov" dataDxfId="20"/>
    <tableColumn id="119" xr3:uid="{E0B67F51-E870-4443-9C0A-137DD44A8AC8}" name="2-Nov" dataDxfId="19"/>
    <tableColumn id="120" xr3:uid="{35F05ECE-C954-42D1-AF00-51D244A8B48F}" name="3-Nov" dataDxfId="18"/>
    <tableColumn id="121" xr3:uid="{0364006A-0EEB-4413-8F3E-27EE30F0C94D}" name="4-Nov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irfanh904@gmail.com" TargetMode="External"/><Relationship Id="rId13" Type="http://schemas.openxmlformats.org/officeDocument/2006/relationships/hyperlink" Target="mailto:mohamedashilpavuthodika@gmail.com" TargetMode="External"/><Relationship Id="rId3" Type="http://schemas.openxmlformats.org/officeDocument/2006/relationships/hyperlink" Target="mailto:fathimahudakp443@gmail.com" TargetMode="External"/><Relationship Id="rId7" Type="http://schemas.openxmlformats.org/officeDocument/2006/relationships/hyperlink" Target="mailto:rameezmhmd855@gmail.com" TargetMode="External"/><Relationship Id="rId12" Type="http://schemas.openxmlformats.org/officeDocument/2006/relationships/hyperlink" Target="mailto:aymanami3006@gmail.com" TargetMode="External"/><Relationship Id="rId2" Type="http://schemas.openxmlformats.org/officeDocument/2006/relationships/hyperlink" Target="mailto:shhinmohammedak@gmail.com" TargetMode="External"/><Relationship Id="rId16" Type="http://schemas.openxmlformats.org/officeDocument/2006/relationships/hyperlink" Target="mailto:jabirt58682@gmail.com" TargetMode="External"/><Relationship Id="rId1" Type="http://schemas.openxmlformats.org/officeDocument/2006/relationships/hyperlink" Target="mailto:nihalabdulla8131@gmail.com" TargetMode="External"/><Relationship Id="rId6" Type="http://schemas.openxmlformats.org/officeDocument/2006/relationships/hyperlink" Target="mailto:nihalroshanv@gmail.com" TargetMode="External"/><Relationship Id="rId11" Type="http://schemas.openxmlformats.org/officeDocument/2006/relationships/hyperlink" Target="mailto:fazilfazi2007@gmail.com" TargetMode="External"/><Relationship Id="rId5" Type="http://schemas.openxmlformats.org/officeDocument/2006/relationships/hyperlink" Target="mailto:Ajmalajmal0665@gmail.com" TargetMode="External"/><Relationship Id="rId15" Type="http://schemas.openxmlformats.org/officeDocument/2006/relationships/hyperlink" Target="mailto:Jamshiihereee@gmail.com" TargetMode="External"/><Relationship Id="rId10" Type="http://schemas.openxmlformats.org/officeDocument/2006/relationships/hyperlink" Target="mailto:Raneedellyas@gmail.com" TargetMode="External"/><Relationship Id="rId4" Type="http://schemas.openxmlformats.org/officeDocument/2006/relationships/hyperlink" Target="mailto:rahshaveerankutty@gmail.com" TargetMode="External"/><Relationship Id="rId9" Type="http://schemas.openxmlformats.org/officeDocument/2006/relationships/hyperlink" Target="mailto:fidhajebin5099@gmail.com" TargetMode="External"/><Relationship Id="rId14" Type="http://schemas.openxmlformats.org/officeDocument/2006/relationships/hyperlink" Target="mailto:abdulsabithkwt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F79A-0DCB-4487-8A36-CBAD2F311665}">
  <dimension ref="A1:L57"/>
  <sheetViews>
    <sheetView workbookViewId="0">
      <selection activeCell="D1" sqref="D1:E1"/>
    </sheetView>
  </sheetViews>
  <sheetFormatPr defaultColWidth="9.140625" defaultRowHeight="15"/>
  <cols>
    <col min="1" max="1" width="10.5703125" style="6" bestFit="1" customWidth="1"/>
    <col min="2" max="2" width="24" style="6" bestFit="1" customWidth="1"/>
    <col min="3" max="3" width="21.140625" style="6" bestFit="1" customWidth="1"/>
    <col min="4" max="4" width="15.5703125" style="6" bestFit="1" customWidth="1"/>
    <col min="5" max="5" width="14.28515625" style="6" bestFit="1" customWidth="1"/>
    <col min="6" max="6" width="16.85546875" style="6" customWidth="1"/>
    <col min="7" max="7" width="10.28515625" style="6" bestFit="1" customWidth="1"/>
    <col min="8" max="8" width="16.7109375" style="6" customWidth="1"/>
    <col min="9" max="9" width="46.7109375" style="6" customWidth="1"/>
    <col min="10" max="10" width="11.140625" style="6" bestFit="1" customWidth="1"/>
    <col min="11" max="11" width="9.140625" style="6"/>
    <col min="12" max="12" width="15.42578125" style="6" customWidth="1"/>
    <col min="13" max="16384" width="9.140625" style="6"/>
  </cols>
  <sheetData>
    <row r="1" spans="1:12">
      <c r="A1" s="132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4" t="s">
        <v>8</v>
      </c>
      <c r="J1" s="132" t="s">
        <v>9</v>
      </c>
      <c r="K1" s="135" t="s">
        <v>10</v>
      </c>
      <c r="L1" s="14"/>
    </row>
    <row r="2" spans="1:12" ht="30.75">
      <c r="A2" s="136" t="s">
        <v>11</v>
      </c>
      <c r="B2" s="137" t="s">
        <v>12</v>
      </c>
      <c r="C2" s="138" t="s">
        <v>13</v>
      </c>
      <c r="D2" s="137" t="s">
        <v>14</v>
      </c>
      <c r="E2" s="137" t="s">
        <v>15</v>
      </c>
      <c r="F2" s="137"/>
      <c r="G2" s="139">
        <v>46249</v>
      </c>
      <c r="H2" s="137" t="s">
        <v>16</v>
      </c>
      <c r="I2" s="140" t="s">
        <v>17</v>
      </c>
      <c r="J2" s="136"/>
      <c r="K2" s="141"/>
      <c r="L2" s="60" t="s">
        <v>18</v>
      </c>
    </row>
    <row r="3" spans="1:12">
      <c r="A3" s="142" t="s">
        <v>19</v>
      </c>
      <c r="B3" s="138" t="s">
        <v>20</v>
      </c>
      <c r="C3" s="143" t="s">
        <v>13</v>
      </c>
      <c r="D3" s="138" t="s">
        <v>21</v>
      </c>
      <c r="E3" s="143" t="s">
        <v>22</v>
      </c>
      <c r="F3" s="143"/>
      <c r="G3" s="144">
        <v>46233</v>
      </c>
      <c r="H3" s="145" t="s">
        <v>23</v>
      </c>
      <c r="I3" s="146" t="s">
        <v>24</v>
      </c>
      <c r="J3" s="142"/>
      <c r="K3" s="147"/>
      <c r="L3" s="14"/>
    </row>
    <row r="4" spans="1:12">
      <c r="A4" s="136" t="s">
        <v>25</v>
      </c>
      <c r="B4" s="137" t="s">
        <v>26</v>
      </c>
      <c r="C4" s="137" t="s">
        <v>13</v>
      </c>
      <c r="D4" s="137" t="s">
        <v>27</v>
      </c>
      <c r="E4" s="137" t="s">
        <v>22</v>
      </c>
      <c r="F4" s="137"/>
      <c r="G4" s="139">
        <v>46233</v>
      </c>
      <c r="H4" s="148" t="s">
        <v>23</v>
      </c>
      <c r="I4" s="140" t="s">
        <v>28</v>
      </c>
      <c r="J4" s="149">
        <v>46213</v>
      </c>
      <c r="K4" s="141" t="s">
        <v>29</v>
      </c>
      <c r="L4" s="14"/>
    </row>
    <row r="5" spans="1:12">
      <c r="A5" s="142" t="s">
        <v>30</v>
      </c>
      <c r="B5" s="143" t="s">
        <v>31</v>
      </c>
      <c r="C5" s="143" t="s">
        <v>13</v>
      </c>
      <c r="D5" s="143" t="s">
        <v>27</v>
      </c>
      <c r="E5" s="143" t="s">
        <v>22</v>
      </c>
      <c r="F5" s="143"/>
      <c r="G5" s="144">
        <v>46233</v>
      </c>
      <c r="H5" s="145" t="s">
        <v>23</v>
      </c>
      <c r="I5" s="146" t="s">
        <v>32</v>
      </c>
      <c r="J5" s="150">
        <v>46216</v>
      </c>
      <c r="K5" s="147"/>
      <c r="L5" s="14"/>
    </row>
    <row r="6" spans="1:12">
      <c r="A6" s="136" t="s">
        <v>33</v>
      </c>
      <c r="B6" s="137" t="s">
        <v>34</v>
      </c>
      <c r="C6" s="137" t="s">
        <v>13</v>
      </c>
      <c r="D6" s="137" t="s">
        <v>35</v>
      </c>
      <c r="E6" s="137" t="s">
        <v>36</v>
      </c>
      <c r="F6" s="137"/>
      <c r="G6" s="139">
        <v>46233</v>
      </c>
      <c r="H6" s="148" t="s">
        <v>23</v>
      </c>
      <c r="I6" s="140" t="s">
        <v>37</v>
      </c>
      <c r="J6" s="136"/>
      <c r="K6" s="141"/>
      <c r="L6" s="14"/>
    </row>
    <row r="7" spans="1:12">
      <c r="A7" s="142" t="s">
        <v>38</v>
      </c>
      <c r="B7" s="143" t="s">
        <v>39</v>
      </c>
      <c r="C7" s="143" t="s">
        <v>13</v>
      </c>
      <c r="D7" s="143" t="s">
        <v>40</v>
      </c>
      <c r="E7" s="143" t="s">
        <v>40</v>
      </c>
      <c r="F7" s="143"/>
      <c r="G7" s="144">
        <v>46249</v>
      </c>
      <c r="H7" s="145" t="s">
        <v>23</v>
      </c>
      <c r="I7" s="146" t="e">
        <f>_xlfn.XLOOKUP(G5,'All '!B2:B21,"Not Available")</f>
        <v>#VALUE!</v>
      </c>
      <c r="J7" s="151">
        <v>46212</v>
      </c>
      <c r="K7" s="147" t="s">
        <v>29</v>
      </c>
      <c r="L7" s="14"/>
    </row>
    <row r="8" spans="1:12">
      <c r="A8" s="136" t="s">
        <v>41</v>
      </c>
      <c r="B8" s="137" t="s">
        <v>42</v>
      </c>
      <c r="C8" s="137" t="s">
        <v>13</v>
      </c>
      <c r="D8" s="137" t="s">
        <v>43</v>
      </c>
      <c r="E8" s="137" t="s">
        <v>44</v>
      </c>
      <c r="F8" s="137"/>
      <c r="G8" s="139">
        <v>46249</v>
      </c>
      <c r="H8" s="148" t="s">
        <v>23</v>
      </c>
      <c r="I8" s="140" t="s">
        <v>45</v>
      </c>
      <c r="J8" s="149">
        <v>46210</v>
      </c>
      <c r="K8" s="141" t="s">
        <v>29</v>
      </c>
      <c r="L8" s="14"/>
    </row>
    <row r="9" spans="1:12">
      <c r="A9" s="142" t="s">
        <v>46</v>
      </c>
      <c r="B9" s="143" t="s">
        <v>47</v>
      </c>
      <c r="C9" s="143" t="s">
        <v>13</v>
      </c>
      <c r="D9" s="143" t="s">
        <v>48</v>
      </c>
      <c r="E9" s="143" t="s">
        <v>49</v>
      </c>
      <c r="F9" s="143"/>
      <c r="G9" s="144">
        <v>46387</v>
      </c>
      <c r="H9" s="145" t="s">
        <v>23</v>
      </c>
      <c r="I9" s="142" t="s">
        <v>50</v>
      </c>
      <c r="J9" s="150">
        <v>46220</v>
      </c>
      <c r="K9" s="147" t="s">
        <v>29</v>
      </c>
      <c r="L9" s="14"/>
    </row>
    <row r="10" spans="1:12">
      <c r="A10" s="136" t="s">
        <v>51</v>
      </c>
      <c r="B10" s="137" t="s">
        <v>52</v>
      </c>
      <c r="C10" s="137" t="s">
        <v>13</v>
      </c>
      <c r="D10" s="137" t="s">
        <v>48</v>
      </c>
      <c r="E10" s="137" t="s">
        <v>49</v>
      </c>
      <c r="F10" s="137"/>
      <c r="G10" s="139">
        <v>46387</v>
      </c>
      <c r="H10" s="148" t="s">
        <v>23</v>
      </c>
      <c r="I10" s="136" t="s">
        <v>53</v>
      </c>
      <c r="J10" s="149">
        <v>46220</v>
      </c>
      <c r="K10" s="141" t="s">
        <v>29</v>
      </c>
      <c r="L10" s="14"/>
    </row>
    <row r="11" spans="1:12">
      <c r="A11" s="142" t="s">
        <v>54</v>
      </c>
      <c r="B11" s="143" t="s">
        <v>55</v>
      </c>
      <c r="C11" s="143" t="s">
        <v>13</v>
      </c>
      <c r="D11" s="143" t="s">
        <v>56</v>
      </c>
      <c r="E11" s="143" t="s">
        <v>44</v>
      </c>
      <c r="F11" s="143"/>
      <c r="G11" s="144">
        <v>46387</v>
      </c>
      <c r="H11" s="145" t="s">
        <v>57</v>
      </c>
      <c r="I11" s="142" t="s">
        <v>58</v>
      </c>
      <c r="J11" s="150">
        <v>46220</v>
      </c>
      <c r="K11" s="147" t="s">
        <v>29</v>
      </c>
      <c r="L11" s="14"/>
    </row>
    <row r="12" spans="1:12">
      <c r="A12" s="136" t="s">
        <v>59</v>
      </c>
      <c r="B12" s="137" t="s">
        <v>60</v>
      </c>
      <c r="C12" s="137" t="s">
        <v>61</v>
      </c>
      <c r="D12" s="137" t="s">
        <v>56</v>
      </c>
      <c r="E12" s="137" t="s">
        <v>44</v>
      </c>
      <c r="F12" s="137"/>
      <c r="G12" s="139">
        <v>46387</v>
      </c>
      <c r="H12" s="148" t="s">
        <v>57</v>
      </c>
      <c r="I12" s="136" t="s">
        <v>58</v>
      </c>
      <c r="J12" s="149">
        <v>46219</v>
      </c>
      <c r="K12" s="141"/>
      <c r="L12" s="14"/>
    </row>
    <row r="13" spans="1:12">
      <c r="A13" s="142" t="s">
        <v>62</v>
      </c>
      <c r="B13" s="143" t="s">
        <v>63</v>
      </c>
      <c r="C13" s="143" t="s">
        <v>61</v>
      </c>
      <c r="D13" s="143" t="s">
        <v>64</v>
      </c>
      <c r="E13" s="143" t="s">
        <v>44</v>
      </c>
      <c r="F13" s="143"/>
      <c r="G13" s="144">
        <v>46387</v>
      </c>
      <c r="H13" s="145" t="s">
        <v>57</v>
      </c>
      <c r="I13" s="142" t="s">
        <v>65</v>
      </c>
      <c r="J13" s="142"/>
      <c r="K13" s="147"/>
      <c r="L13" s="14"/>
    </row>
    <row r="14" spans="1:12">
      <c r="A14" s="136" t="s">
        <v>66</v>
      </c>
      <c r="B14" s="137" t="s">
        <v>67</v>
      </c>
      <c r="C14" s="137" t="s">
        <v>68</v>
      </c>
      <c r="D14" s="137" t="s">
        <v>64</v>
      </c>
      <c r="E14" s="137" t="s">
        <v>44</v>
      </c>
      <c r="F14" s="137"/>
      <c r="G14" s="139">
        <v>46387</v>
      </c>
      <c r="H14" s="148" t="s">
        <v>57</v>
      </c>
      <c r="I14" s="136" t="s">
        <v>69</v>
      </c>
      <c r="J14" s="136"/>
      <c r="K14" s="141"/>
      <c r="L14" s="14"/>
    </row>
    <row r="15" spans="1:12">
      <c r="A15" s="142" t="s">
        <v>70</v>
      </c>
      <c r="B15" s="143" t="s">
        <v>71</v>
      </c>
      <c r="C15" s="143" t="s">
        <v>68</v>
      </c>
      <c r="D15" s="143" t="s">
        <v>72</v>
      </c>
      <c r="E15" s="143" t="s">
        <v>72</v>
      </c>
      <c r="F15" s="143"/>
      <c r="G15" s="143" t="s">
        <v>72</v>
      </c>
      <c r="H15" s="145" t="s">
        <v>73</v>
      </c>
      <c r="I15" s="142" t="s">
        <v>74</v>
      </c>
      <c r="J15" s="142"/>
      <c r="K15" s="147"/>
      <c r="L15" s="14"/>
    </row>
    <row r="16" spans="1:12">
      <c r="A16" s="136" t="s">
        <v>75</v>
      </c>
      <c r="B16" s="137" t="s">
        <v>76</v>
      </c>
      <c r="C16" s="137" t="s">
        <v>77</v>
      </c>
      <c r="D16" s="137" t="s">
        <v>72</v>
      </c>
      <c r="E16" s="137" t="s">
        <v>72</v>
      </c>
      <c r="F16" s="137"/>
      <c r="G16" s="137" t="s">
        <v>72</v>
      </c>
      <c r="H16" s="148" t="s">
        <v>73</v>
      </c>
      <c r="I16" s="136" t="s">
        <v>78</v>
      </c>
      <c r="J16" s="136"/>
      <c r="K16" s="141"/>
      <c r="L16" s="14"/>
    </row>
    <row r="17" spans="1:12">
      <c r="A17" s="142" t="s">
        <v>79</v>
      </c>
      <c r="B17" s="143" t="s">
        <v>80</v>
      </c>
      <c r="C17" s="143" t="s">
        <v>77</v>
      </c>
      <c r="D17" s="143" t="s">
        <v>72</v>
      </c>
      <c r="E17" s="143" t="s">
        <v>72</v>
      </c>
      <c r="F17" s="143"/>
      <c r="G17" s="144">
        <v>46387</v>
      </c>
      <c r="H17" s="145" t="s">
        <v>73</v>
      </c>
      <c r="I17" s="143"/>
      <c r="J17" s="142"/>
      <c r="K17" s="147"/>
      <c r="L17" s="14"/>
    </row>
    <row r="18" spans="1:12">
      <c r="A18" s="136" t="s">
        <v>81</v>
      </c>
      <c r="B18" s="137" t="s">
        <v>82</v>
      </c>
      <c r="C18" s="137" t="s">
        <v>83</v>
      </c>
      <c r="D18" s="137" t="s">
        <v>84</v>
      </c>
      <c r="E18" s="137" t="s">
        <v>85</v>
      </c>
      <c r="F18" s="137"/>
      <c r="G18" s="139">
        <v>46387</v>
      </c>
      <c r="H18" s="148" t="s">
        <v>73</v>
      </c>
      <c r="I18" s="136" t="s">
        <v>86</v>
      </c>
      <c r="J18" s="136"/>
      <c r="K18" s="141"/>
      <c r="L18" s="14"/>
    </row>
    <row r="19" spans="1:12">
      <c r="A19" s="142" t="s">
        <v>87</v>
      </c>
      <c r="B19" s="146" t="s">
        <v>88</v>
      </c>
      <c r="C19" s="143" t="s">
        <v>89</v>
      </c>
      <c r="D19" s="143" t="s">
        <v>72</v>
      </c>
      <c r="E19" s="143" t="s">
        <v>72</v>
      </c>
      <c r="F19" s="143"/>
      <c r="G19" s="144">
        <v>46387</v>
      </c>
      <c r="H19" s="145" t="s">
        <v>90</v>
      </c>
      <c r="I19" s="142" t="s">
        <v>91</v>
      </c>
      <c r="J19" s="150">
        <v>46211</v>
      </c>
      <c r="K19" s="147" t="s">
        <v>29</v>
      </c>
      <c r="L19" s="14"/>
    </row>
    <row r="20" spans="1:12">
      <c r="A20" s="136" t="s">
        <v>92</v>
      </c>
      <c r="B20" s="137" t="s">
        <v>93</v>
      </c>
      <c r="C20" s="137" t="s">
        <v>89</v>
      </c>
      <c r="D20" s="137" t="s">
        <v>94</v>
      </c>
      <c r="E20" s="137" t="s">
        <v>72</v>
      </c>
      <c r="F20" s="137"/>
      <c r="G20" s="139">
        <v>46387</v>
      </c>
      <c r="H20" s="148" t="s">
        <v>57</v>
      </c>
      <c r="I20" s="137"/>
      <c r="J20" s="136"/>
      <c r="K20" s="141"/>
      <c r="L20" s="14"/>
    </row>
    <row r="21" spans="1:12">
      <c r="A21" s="142" t="s">
        <v>95</v>
      </c>
      <c r="B21" s="143" t="s">
        <v>96</v>
      </c>
      <c r="C21" s="143" t="s">
        <v>97</v>
      </c>
      <c r="D21" s="143" t="s">
        <v>98</v>
      </c>
      <c r="E21" s="143" t="s">
        <v>99</v>
      </c>
      <c r="F21" s="143"/>
      <c r="G21" s="144">
        <v>46233</v>
      </c>
      <c r="H21" s="145" t="s">
        <v>23</v>
      </c>
      <c r="I21" s="143" t="s">
        <v>37</v>
      </c>
      <c r="J21" s="142"/>
      <c r="K21" s="147"/>
      <c r="L21" s="14"/>
    </row>
    <row r="22" spans="1:12">
      <c r="A22" s="136" t="s">
        <v>100</v>
      </c>
      <c r="B22" s="137" t="s">
        <v>101</v>
      </c>
      <c r="C22" s="137" t="s">
        <v>97</v>
      </c>
      <c r="D22" s="137" t="s">
        <v>61</v>
      </c>
      <c r="E22" s="137" t="s">
        <v>102</v>
      </c>
      <c r="F22" s="137"/>
      <c r="G22" s="139">
        <v>46336</v>
      </c>
      <c r="H22" s="148" t="s">
        <v>103</v>
      </c>
      <c r="I22" s="136" t="s">
        <v>104</v>
      </c>
      <c r="J22" s="136"/>
      <c r="K22" s="141"/>
      <c r="L22" s="14"/>
    </row>
    <row r="23" spans="1:12">
      <c r="A23" s="142" t="s">
        <v>105</v>
      </c>
      <c r="B23" s="143" t="s">
        <v>106</v>
      </c>
      <c r="C23" s="143" t="s">
        <v>97</v>
      </c>
      <c r="D23" s="143" t="s">
        <v>61</v>
      </c>
      <c r="E23" s="143" t="s">
        <v>107</v>
      </c>
      <c r="F23" s="143"/>
      <c r="G23" s="144">
        <v>46337</v>
      </c>
      <c r="H23" s="145" t="s">
        <v>103</v>
      </c>
      <c r="I23" s="142" t="s">
        <v>108</v>
      </c>
      <c r="J23" s="151">
        <v>46211</v>
      </c>
      <c r="K23" s="147" t="s">
        <v>29</v>
      </c>
      <c r="L23" s="14"/>
    </row>
    <row r="24" spans="1:12">
      <c r="A24" s="136" t="s">
        <v>109</v>
      </c>
      <c r="B24" s="137" t="s">
        <v>110</v>
      </c>
      <c r="C24" s="137" t="s">
        <v>111</v>
      </c>
      <c r="D24" s="137" t="s">
        <v>43</v>
      </c>
      <c r="E24" s="137" t="s">
        <v>112</v>
      </c>
      <c r="F24" s="137"/>
      <c r="G24" s="139">
        <v>46233</v>
      </c>
      <c r="H24" s="148" t="s">
        <v>113</v>
      </c>
      <c r="I24" s="140" t="s">
        <v>114</v>
      </c>
      <c r="J24" s="149">
        <v>46217</v>
      </c>
      <c r="K24" s="141"/>
      <c r="L24" s="14"/>
    </row>
    <row r="25" spans="1:12">
      <c r="A25" s="142" t="s">
        <v>115</v>
      </c>
      <c r="B25" s="143" t="s">
        <v>116</v>
      </c>
      <c r="C25" s="143" t="s">
        <v>111</v>
      </c>
      <c r="D25" s="143" t="s">
        <v>43</v>
      </c>
      <c r="E25" s="143" t="s">
        <v>112</v>
      </c>
      <c r="F25" s="143"/>
      <c r="G25" s="144">
        <v>46233</v>
      </c>
      <c r="H25" s="145" t="s">
        <v>113</v>
      </c>
      <c r="I25" s="146" t="s">
        <v>117</v>
      </c>
      <c r="J25" s="142"/>
      <c r="K25" s="147"/>
      <c r="L25" s="14"/>
    </row>
    <row r="26" spans="1:12">
      <c r="A26" s="136" t="s">
        <v>118</v>
      </c>
      <c r="B26" s="137" t="s">
        <v>119</v>
      </c>
      <c r="C26" s="137" t="s">
        <v>111</v>
      </c>
      <c r="D26" s="137" t="s">
        <v>43</v>
      </c>
      <c r="E26" s="137" t="s">
        <v>112</v>
      </c>
      <c r="F26" s="137"/>
      <c r="G26" s="139">
        <v>46233</v>
      </c>
      <c r="H26" s="148" t="s">
        <v>90</v>
      </c>
      <c r="I26" s="140" t="s">
        <v>120</v>
      </c>
      <c r="J26" s="149">
        <v>46216</v>
      </c>
      <c r="K26" s="141" t="s">
        <v>29</v>
      </c>
      <c r="L26" s="14"/>
    </row>
    <row r="27" spans="1:12">
      <c r="A27" s="142" t="s">
        <v>121</v>
      </c>
      <c r="B27" s="143" t="s">
        <v>122</v>
      </c>
      <c r="C27" s="143" t="s">
        <v>111</v>
      </c>
      <c r="D27" s="143" t="s">
        <v>43</v>
      </c>
      <c r="E27" s="143" t="s">
        <v>112</v>
      </c>
      <c r="F27" s="143"/>
      <c r="G27" s="144">
        <v>46233</v>
      </c>
      <c r="H27" s="145" t="s">
        <v>16</v>
      </c>
      <c r="I27" s="146" t="s">
        <v>123</v>
      </c>
      <c r="J27" s="150">
        <v>46216</v>
      </c>
      <c r="K27" s="147" t="s">
        <v>29</v>
      </c>
      <c r="L27" s="14"/>
    </row>
    <row r="28" spans="1:12">
      <c r="A28" s="136" t="s">
        <v>124</v>
      </c>
      <c r="B28" s="137" t="s">
        <v>125</v>
      </c>
      <c r="C28" s="137" t="s">
        <v>111</v>
      </c>
      <c r="D28" s="137" t="s">
        <v>40</v>
      </c>
      <c r="E28" s="137" t="s">
        <v>126</v>
      </c>
      <c r="F28" s="137"/>
      <c r="G28" s="139">
        <v>46249</v>
      </c>
      <c r="H28" s="148" t="s">
        <v>127</v>
      </c>
      <c r="I28" s="140" t="s">
        <v>128</v>
      </c>
      <c r="J28" s="136"/>
      <c r="K28" s="141"/>
      <c r="L28" s="14"/>
    </row>
    <row r="29" spans="1:12">
      <c r="A29" s="142" t="s">
        <v>129</v>
      </c>
      <c r="B29" s="143" t="s">
        <v>130</v>
      </c>
      <c r="C29" s="143" t="s">
        <v>111</v>
      </c>
      <c r="D29" s="143" t="s">
        <v>40</v>
      </c>
      <c r="E29" s="143" t="s">
        <v>126</v>
      </c>
      <c r="F29" s="143"/>
      <c r="G29" s="144">
        <v>46249</v>
      </c>
      <c r="H29" s="145" t="s">
        <v>127</v>
      </c>
      <c r="I29" s="146" t="s">
        <v>131</v>
      </c>
      <c r="J29" s="142"/>
      <c r="K29" s="147"/>
      <c r="L29" s="14"/>
    </row>
    <row r="30" spans="1:12">
      <c r="A30" s="136" t="s">
        <v>132</v>
      </c>
      <c r="B30" s="137" t="s">
        <v>133</v>
      </c>
      <c r="C30" s="137" t="s">
        <v>111</v>
      </c>
      <c r="D30" s="137" t="s">
        <v>40</v>
      </c>
      <c r="E30" s="137" t="s">
        <v>134</v>
      </c>
      <c r="F30" s="137"/>
      <c r="G30" s="139">
        <v>46249</v>
      </c>
      <c r="H30" s="148" t="s">
        <v>127</v>
      </c>
      <c r="I30" s="140" t="s">
        <v>135</v>
      </c>
      <c r="J30" s="136"/>
      <c r="K30" s="141"/>
      <c r="L30" s="14"/>
    </row>
    <row r="31" spans="1:12">
      <c r="A31" s="142" t="s">
        <v>136</v>
      </c>
      <c r="B31" s="143" t="s">
        <v>137</v>
      </c>
      <c r="C31" s="143" t="s">
        <v>111</v>
      </c>
      <c r="D31" s="143" t="s">
        <v>40</v>
      </c>
      <c r="E31" s="143" t="s">
        <v>138</v>
      </c>
      <c r="F31" s="143"/>
      <c r="G31" s="144">
        <v>46249</v>
      </c>
      <c r="H31" s="145" t="s">
        <v>16</v>
      </c>
      <c r="I31" s="146" t="s">
        <v>139</v>
      </c>
      <c r="J31" s="142"/>
      <c r="K31" s="147"/>
      <c r="L31" s="14"/>
    </row>
    <row r="32" spans="1:12">
      <c r="A32" s="136" t="s">
        <v>140</v>
      </c>
      <c r="B32" s="137" t="s">
        <v>141</v>
      </c>
      <c r="C32" s="137" t="s">
        <v>111</v>
      </c>
      <c r="D32" s="137" t="s">
        <v>40</v>
      </c>
      <c r="E32" s="137" t="s">
        <v>126</v>
      </c>
      <c r="F32" s="137"/>
      <c r="G32" s="139">
        <v>46249</v>
      </c>
      <c r="H32" s="148" t="s">
        <v>16</v>
      </c>
      <c r="I32" s="140" t="s">
        <v>142</v>
      </c>
      <c r="J32" s="136"/>
      <c r="K32" s="141"/>
      <c r="L32" s="14"/>
    </row>
    <row r="33" spans="1:12">
      <c r="A33" s="142" t="s">
        <v>143</v>
      </c>
      <c r="B33" s="143" t="s">
        <v>144</v>
      </c>
      <c r="C33" s="143" t="s">
        <v>111</v>
      </c>
      <c r="D33" s="143" t="s">
        <v>40</v>
      </c>
      <c r="E33" s="143" t="s">
        <v>126</v>
      </c>
      <c r="F33" s="143"/>
      <c r="G33" s="144">
        <v>46249</v>
      </c>
      <c r="H33" s="145" t="s">
        <v>103</v>
      </c>
      <c r="I33" s="146" t="s">
        <v>145</v>
      </c>
      <c r="J33" s="150">
        <v>46213</v>
      </c>
      <c r="K33" s="147" t="s">
        <v>29</v>
      </c>
      <c r="L33" s="14"/>
    </row>
    <row r="34" spans="1:12">
      <c r="A34" s="136" t="s">
        <v>146</v>
      </c>
      <c r="B34" s="138" t="s">
        <v>147</v>
      </c>
      <c r="C34" s="138" t="s">
        <v>111</v>
      </c>
      <c r="D34" s="137" t="s">
        <v>43</v>
      </c>
      <c r="E34" s="137" t="s">
        <v>44</v>
      </c>
      <c r="F34" s="137"/>
      <c r="G34" s="139">
        <v>46249</v>
      </c>
      <c r="H34" s="148" t="s">
        <v>113</v>
      </c>
      <c r="I34" s="140" t="s">
        <v>148</v>
      </c>
      <c r="J34" s="136"/>
      <c r="K34" s="141"/>
      <c r="L34" s="14"/>
    </row>
    <row r="35" spans="1:12">
      <c r="A35" s="142" t="s">
        <v>149</v>
      </c>
      <c r="B35" s="143" t="s">
        <v>150</v>
      </c>
      <c r="C35" s="143" t="s">
        <v>111</v>
      </c>
      <c r="D35" s="143" t="s">
        <v>151</v>
      </c>
      <c r="E35" s="143" t="s">
        <v>44</v>
      </c>
      <c r="F35" s="143"/>
      <c r="G35" s="144">
        <v>46265</v>
      </c>
      <c r="H35" s="145" t="s">
        <v>90</v>
      </c>
      <c r="I35" s="146" t="s">
        <v>152</v>
      </c>
      <c r="J35" s="142"/>
      <c r="K35" s="147"/>
      <c r="L35" s="14"/>
    </row>
    <row r="36" spans="1:12">
      <c r="A36" s="136" t="s">
        <v>153</v>
      </c>
      <c r="B36" s="137" t="s">
        <v>154</v>
      </c>
      <c r="C36" s="137" t="s">
        <v>111</v>
      </c>
      <c r="D36" s="137" t="s">
        <v>151</v>
      </c>
      <c r="E36" s="137" t="s">
        <v>44</v>
      </c>
      <c r="F36" s="137"/>
      <c r="G36" s="139">
        <v>46265</v>
      </c>
      <c r="H36" s="148" t="s">
        <v>127</v>
      </c>
      <c r="I36" s="140" t="s">
        <v>155</v>
      </c>
      <c r="J36" s="136"/>
      <c r="K36" s="141"/>
      <c r="L36" s="14"/>
    </row>
    <row r="37" spans="1:12">
      <c r="A37" s="142" t="s">
        <v>156</v>
      </c>
      <c r="B37" s="143" t="s">
        <v>157</v>
      </c>
      <c r="C37" s="143" t="s">
        <v>111</v>
      </c>
      <c r="D37" s="143" t="s">
        <v>151</v>
      </c>
      <c r="E37" s="143" t="s">
        <v>44</v>
      </c>
      <c r="F37" s="143"/>
      <c r="G37" s="144">
        <v>46265</v>
      </c>
      <c r="H37" s="145" t="s">
        <v>127</v>
      </c>
      <c r="I37" s="146" t="s">
        <v>158</v>
      </c>
      <c r="J37" s="142"/>
      <c r="K37" s="147"/>
      <c r="L37" s="14"/>
    </row>
    <row r="38" spans="1:12" s="9" customFormat="1">
      <c r="A38" s="152" t="s">
        <v>159</v>
      </c>
      <c r="B38" s="153" t="s">
        <v>160</v>
      </c>
      <c r="C38" s="153" t="s">
        <v>111</v>
      </c>
      <c r="D38" s="153" t="s">
        <v>151</v>
      </c>
      <c r="E38" s="153" t="s">
        <v>44</v>
      </c>
      <c r="F38" s="153"/>
      <c r="G38" s="154">
        <v>46265</v>
      </c>
      <c r="H38" s="155" t="s">
        <v>103</v>
      </c>
      <c r="I38" s="153" t="s">
        <v>161</v>
      </c>
      <c r="J38" s="156">
        <v>46213</v>
      </c>
      <c r="K38" s="157"/>
      <c r="L38" s="86"/>
    </row>
    <row r="39" spans="1:12">
      <c r="A39" s="142" t="s">
        <v>162</v>
      </c>
      <c r="B39" s="143" t="s">
        <v>163</v>
      </c>
      <c r="C39" s="143" t="s">
        <v>111</v>
      </c>
      <c r="D39" s="143" t="s">
        <v>151</v>
      </c>
      <c r="E39" s="143" t="s">
        <v>44</v>
      </c>
      <c r="F39" s="143"/>
      <c r="G39" s="144">
        <v>46265</v>
      </c>
      <c r="H39" s="145" t="s">
        <v>90</v>
      </c>
      <c r="I39" s="142" t="s">
        <v>56</v>
      </c>
      <c r="J39" s="150">
        <v>46220</v>
      </c>
      <c r="K39" s="147"/>
      <c r="L39" s="14"/>
    </row>
    <row r="40" spans="1:12">
      <c r="A40" s="136" t="s">
        <v>164</v>
      </c>
      <c r="B40" s="137" t="s">
        <v>165</v>
      </c>
      <c r="C40" s="137" t="s">
        <v>111</v>
      </c>
      <c r="D40" s="137" t="s">
        <v>151</v>
      </c>
      <c r="E40" s="137" t="s">
        <v>44</v>
      </c>
      <c r="F40" s="137"/>
      <c r="G40" s="139">
        <v>46265</v>
      </c>
      <c r="H40" s="148" t="s">
        <v>127</v>
      </c>
      <c r="I40" s="136" t="s">
        <v>166</v>
      </c>
      <c r="J40" s="136"/>
      <c r="K40" s="141"/>
      <c r="L40" s="14"/>
    </row>
    <row r="41" spans="1:12">
      <c r="A41" s="142" t="s">
        <v>167</v>
      </c>
      <c r="B41" s="143" t="s">
        <v>168</v>
      </c>
      <c r="C41" s="143" t="s">
        <v>111</v>
      </c>
      <c r="D41" s="143" t="s">
        <v>151</v>
      </c>
      <c r="E41" s="143" t="s">
        <v>44</v>
      </c>
      <c r="F41" s="143"/>
      <c r="G41" s="144">
        <v>46265</v>
      </c>
      <c r="H41" s="145" t="s">
        <v>103</v>
      </c>
      <c r="I41" s="142" t="s">
        <v>169</v>
      </c>
      <c r="J41" s="142"/>
      <c r="K41" s="147"/>
      <c r="L41" s="14"/>
    </row>
    <row r="42" spans="1:12">
      <c r="A42" s="136" t="s">
        <v>170</v>
      </c>
      <c r="B42" s="137" t="s">
        <v>171</v>
      </c>
      <c r="C42" s="137" t="s">
        <v>111</v>
      </c>
      <c r="D42" s="137" t="s">
        <v>48</v>
      </c>
      <c r="E42" s="137" t="s">
        <v>36</v>
      </c>
      <c r="F42" s="137"/>
      <c r="G42" s="139">
        <v>46265</v>
      </c>
      <c r="H42" s="148" t="s">
        <v>16</v>
      </c>
      <c r="I42" s="136" t="s">
        <v>172</v>
      </c>
      <c r="J42" s="136"/>
      <c r="K42" s="141"/>
      <c r="L42" s="14"/>
    </row>
    <row r="43" spans="1:12">
      <c r="A43" s="142" t="s">
        <v>173</v>
      </c>
      <c r="B43" s="143" t="s">
        <v>174</v>
      </c>
      <c r="C43" s="143" t="s">
        <v>111</v>
      </c>
      <c r="D43" s="143" t="s">
        <v>151</v>
      </c>
      <c r="E43" s="143" t="s">
        <v>44</v>
      </c>
      <c r="F43" s="143"/>
      <c r="G43" s="144">
        <v>46265</v>
      </c>
      <c r="H43" s="145" t="s">
        <v>90</v>
      </c>
      <c r="I43" s="142" t="s">
        <v>175</v>
      </c>
      <c r="J43" s="142"/>
      <c r="K43" s="147"/>
      <c r="L43" s="14"/>
    </row>
    <row r="44" spans="1:12">
      <c r="A44" s="136" t="s">
        <v>176</v>
      </c>
      <c r="B44" s="137" t="s">
        <v>177</v>
      </c>
      <c r="C44" s="137" t="s">
        <v>111</v>
      </c>
      <c r="D44" s="137" t="s">
        <v>178</v>
      </c>
      <c r="E44" s="137" t="s">
        <v>179</v>
      </c>
      <c r="F44" s="137"/>
      <c r="G44" s="139">
        <v>46336</v>
      </c>
      <c r="H44" s="148" t="s">
        <v>113</v>
      </c>
      <c r="I44" s="136" t="s">
        <v>180</v>
      </c>
      <c r="J44" s="136"/>
      <c r="K44" s="141"/>
      <c r="L44" s="14"/>
    </row>
    <row r="45" spans="1:12">
      <c r="A45" s="142" t="s">
        <v>181</v>
      </c>
      <c r="B45" s="143" t="s">
        <v>182</v>
      </c>
      <c r="C45" s="143" t="s">
        <v>111</v>
      </c>
      <c r="D45" s="143" t="s">
        <v>43</v>
      </c>
      <c r="E45" s="143" t="s">
        <v>44</v>
      </c>
      <c r="F45" s="143"/>
      <c r="G45" s="144">
        <v>46387</v>
      </c>
      <c r="H45" s="145"/>
      <c r="I45" s="142" t="s">
        <v>183</v>
      </c>
      <c r="J45" s="142"/>
      <c r="K45" s="147"/>
      <c r="L45" s="14"/>
    </row>
    <row r="46" spans="1:12">
      <c r="A46" s="136" t="s">
        <v>184</v>
      </c>
      <c r="B46" s="137" t="s">
        <v>185</v>
      </c>
      <c r="C46" s="137" t="s">
        <v>111</v>
      </c>
      <c r="D46" s="137" t="s">
        <v>43</v>
      </c>
      <c r="E46" s="137" t="s">
        <v>44</v>
      </c>
      <c r="F46" s="137"/>
      <c r="G46" s="139">
        <v>46387</v>
      </c>
      <c r="H46" s="148"/>
      <c r="I46" s="136" t="s">
        <v>186</v>
      </c>
      <c r="J46" s="136"/>
      <c r="K46" s="141"/>
      <c r="L46" s="14"/>
    </row>
    <row r="47" spans="1:12">
      <c r="A47" s="142" t="s">
        <v>187</v>
      </c>
      <c r="B47" s="143" t="s">
        <v>188</v>
      </c>
      <c r="C47" s="143" t="s">
        <v>111</v>
      </c>
      <c r="D47" s="143" t="s">
        <v>43</v>
      </c>
      <c r="E47" s="143" t="s">
        <v>44</v>
      </c>
      <c r="F47" s="143"/>
      <c r="G47" s="144">
        <v>46387</v>
      </c>
      <c r="H47" s="145" t="s">
        <v>113</v>
      </c>
      <c r="I47" s="142" t="s">
        <v>189</v>
      </c>
      <c r="J47" s="142"/>
      <c r="K47" s="147"/>
      <c r="L47" s="14"/>
    </row>
    <row r="48" spans="1:12">
      <c r="A48" s="136" t="s">
        <v>190</v>
      </c>
      <c r="B48" s="137" t="s">
        <v>191</v>
      </c>
      <c r="C48" s="137" t="s">
        <v>111</v>
      </c>
      <c r="D48" s="137" t="s">
        <v>192</v>
      </c>
      <c r="E48" s="137" t="s">
        <v>193</v>
      </c>
      <c r="F48" s="137"/>
      <c r="G48" s="139">
        <v>46387</v>
      </c>
      <c r="H48" s="148"/>
      <c r="I48" s="136" t="s">
        <v>194</v>
      </c>
      <c r="J48" s="136"/>
      <c r="K48" s="141"/>
      <c r="L48" s="14"/>
    </row>
    <row r="49" spans="1:12">
      <c r="A49" s="142" t="s">
        <v>195</v>
      </c>
      <c r="B49" s="143" t="s">
        <v>196</v>
      </c>
      <c r="C49" s="143" t="s">
        <v>111</v>
      </c>
      <c r="D49" s="143" t="s">
        <v>72</v>
      </c>
      <c r="E49" s="143" t="s">
        <v>72</v>
      </c>
      <c r="F49" s="143"/>
      <c r="G49" s="144">
        <v>46387</v>
      </c>
      <c r="H49" s="145" t="s">
        <v>73</v>
      </c>
      <c r="I49" s="158" t="s">
        <v>197</v>
      </c>
      <c r="J49" s="142"/>
      <c r="K49" s="147"/>
      <c r="L49" s="14"/>
    </row>
    <row r="50" spans="1:12">
      <c r="A50" s="136" t="s">
        <v>198</v>
      </c>
      <c r="B50" s="137" t="s">
        <v>199</v>
      </c>
      <c r="C50" s="137" t="s">
        <v>111</v>
      </c>
      <c r="D50" s="137" t="s">
        <v>200</v>
      </c>
      <c r="E50" s="137" t="s">
        <v>72</v>
      </c>
      <c r="F50" s="137"/>
      <c r="G50" s="139">
        <v>46387</v>
      </c>
      <c r="H50" s="148" t="s">
        <v>201</v>
      </c>
      <c r="I50" s="137"/>
      <c r="J50" s="136"/>
      <c r="K50" s="141"/>
      <c r="L50" s="14"/>
    </row>
    <row r="51" spans="1:12">
      <c r="A51" s="142" t="s">
        <v>202</v>
      </c>
      <c r="B51" s="143" t="s">
        <v>203</v>
      </c>
      <c r="C51" s="143" t="s">
        <v>204</v>
      </c>
      <c r="D51" s="143" t="s">
        <v>43</v>
      </c>
      <c r="E51" s="143" t="s">
        <v>112</v>
      </c>
      <c r="F51" s="143"/>
      <c r="G51" s="144">
        <v>46233</v>
      </c>
      <c r="H51" s="145" t="s">
        <v>205</v>
      </c>
      <c r="I51" s="146" t="s">
        <v>206</v>
      </c>
      <c r="J51" s="142"/>
      <c r="K51" s="147"/>
      <c r="L51" s="14"/>
    </row>
    <row r="52" spans="1:12">
      <c r="A52" s="136" t="s">
        <v>207</v>
      </c>
      <c r="B52" s="137" t="s">
        <v>208</v>
      </c>
      <c r="C52" s="137" t="s">
        <v>204</v>
      </c>
      <c r="D52" s="137" t="s">
        <v>43</v>
      </c>
      <c r="E52" s="137" t="s">
        <v>112</v>
      </c>
      <c r="F52" s="137"/>
      <c r="G52" s="139">
        <v>46233</v>
      </c>
      <c r="H52" s="148" t="s">
        <v>205</v>
      </c>
      <c r="I52" s="140" t="s">
        <v>209</v>
      </c>
      <c r="J52" s="136"/>
      <c r="K52" s="141"/>
      <c r="L52" s="14"/>
    </row>
    <row r="53" spans="1:12">
      <c r="A53" s="142" t="s">
        <v>210</v>
      </c>
      <c r="B53" s="143" t="s">
        <v>211</v>
      </c>
      <c r="C53" s="143" t="s">
        <v>204</v>
      </c>
      <c r="D53" s="143" t="s">
        <v>43</v>
      </c>
      <c r="E53" s="143" t="s">
        <v>112</v>
      </c>
      <c r="F53" s="143"/>
      <c r="G53" s="144">
        <v>46233</v>
      </c>
      <c r="H53" s="145" t="s">
        <v>205</v>
      </c>
      <c r="I53" s="146" t="s">
        <v>212</v>
      </c>
      <c r="J53" s="142"/>
      <c r="K53" s="147"/>
      <c r="L53" s="14"/>
    </row>
    <row r="54" spans="1:12">
      <c r="A54" s="136" t="s">
        <v>213</v>
      </c>
      <c r="B54" s="137" t="s">
        <v>214</v>
      </c>
      <c r="C54" s="137" t="s">
        <v>204</v>
      </c>
      <c r="D54" s="137" t="s">
        <v>43</v>
      </c>
      <c r="E54" s="137" t="s">
        <v>112</v>
      </c>
      <c r="F54" s="137"/>
      <c r="G54" s="139">
        <v>46233</v>
      </c>
      <c r="H54" s="148" t="s">
        <v>205</v>
      </c>
      <c r="I54" s="140" t="s">
        <v>215</v>
      </c>
      <c r="J54" s="136"/>
      <c r="K54" s="141"/>
      <c r="L54" s="14"/>
    </row>
    <row r="55" spans="1:12">
      <c r="A55" s="142" t="s">
        <v>216</v>
      </c>
      <c r="B55" s="143" t="s">
        <v>217</v>
      </c>
      <c r="C55" s="143" t="s">
        <v>204</v>
      </c>
      <c r="D55" s="143" t="s">
        <v>43</v>
      </c>
      <c r="E55" s="143" t="s">
        <v>112</v>
      </c>
      <c r="F55" s="143"/>
      <c r="G55" s="144">
        <v>46233</v>
      </c>
      <c r="H55" s="145" t="s">
        <v>205</v>
      </c>
      <c r="I55" s="146" t="s">
        <v>58</v>
      </c>
      <c r="J55" s="142"/>
      <c r="K55" s="147"/>
      <c r="L55" s="14"/>
    </row>
    <row r="56" spans="1:12">
      <c r="A56" s="159" t="s">
        <v>218</v>
      </c>
      <c r="B56" s="160" t="s">
        <v>219</v>
      </c>
      <c r="C56" s="160" t="s">
        <v>204</v>
      </c>
      <c r="D56" s="160" t="s">
        <v>48</v>
      </c>
      <c r="E56" s="160" t="s">
        <v>220</v>
      </c>
      <c r="F56" s="160"/>
      <c r="G56" s="160"/>
      <c r="H56" s="161" t="s">
        <v>205</v>
      </c>
      <c r="I56" s="159" t="s">
        <v>135</v>
      </c>
      <c r="J56" s="159"/>
      <c r="K56" s="162"/>
      <c r="L56" s="14"/>
    </row>
    <row r="57" spans="1:1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</row>
  </sheetData>
  <sortState xmlns:xlrd2="http://schemas.microsoft.com/office/spreadsheetml/2017/richdata2" ref="C2:C1048576">
    <sortCondition ref="C2:C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42C5-4421-4D35-A7F3-17E98EFA3749}">
  <dimension ref="A1:O563"/>
  <sheetViews>
    <sheetView topLeftCell="A29" workbookViewId="0"/>
  </sheetViews>
  <sheetFormatPr defaultRowHeight="15"/>
  <cols>
    <col min="1" max="1" width="9.85546875" style="6" bestFit="1" customWidth="1"/>
    <col min="2" max="2" width="24" style="6" bestFit="1" customWidth="1"/>
    <col min="3" max="3" width="21.140625" style="6" bestFit="1" customWidth="1"/>
    <col min="4" max="4" width="9.140625" style="6"/>
    <col min="5" max="5" width="13.42578125" style="6" customWidth="1"/>
    <col min="6" max="6" width="11.42578125" style="6" customWidth="1"/>
    <col min="7" max="7" width="12.5703125" style="6" customWidth="1"/>
    <col min="8" max="8" width="9.140625" style="6"/>
    <col min="10" max="10" width="17.42578125" customWidth="1"/>
  </cols>
  <sheetData>
    <row r="1" spans="1:15" s="52" customFormat="1">
      <c r="A1" s="14" t="s">
        <v>0</v>
      </c>
      <c r="B1" s="1" t="s">
        <v>1</v>
      </c>
      <c r="C1" s="1" t="s">
        <v>2</v>
      </c>
      <c r="D1" s="14" t="s">
        <v>221</v>
      </c>
      <c r="E1" s="14" t="s">
        <v>222</v>
      </c>
      <c r="F1" s="14" t="s">
        <v>223</v>
      </c>
      <c r="G1" s="14" t="s">
        <v>10</v>
      </c>
      <c r="H1" s="14" t="s">
        <v>224</v>
      </c>
    </row>
    <row r="2" spans="1:15">
      <c r="A2" s="6" t="str">
        <f>_xlfn.XLOOKUP(B2,'All '!B:B,'All '!A:A,"No Found")</f>
        <v>TDAA001</v>
      </c>
      <c r="B2" s="2" t="s">
        <v>96</v>
      </c>
      <c r="C2" s="2" t="s">
        <v>97</v>
      </c>
      <c r="D2" s="6">
        <v>1</v>
      </c>
      <c r="E2" s="21">
        <v>46182</v>
      </c>
      <c r="F2" s="6">
        <v>7</v>
      </c>
      <c r="G2" s="6" t="str">
        <f>IF(F2="","Pending",IF(F2&lt;7,"Weekback","No Weekback"))</f>
        <v>No Weekback</v>
      </c>
      <c r="J2" cm="1">
        <f t="array" ref="J2:J3">IFERROR(_xlfn._xlws.SORT(_xlfn.UNIQUE(_xlfn._xlws.FILTER('Review History'!D:D,'Review History'!B:B=Dashboard.!F5))),0)</f>
        <v>1</v>
      </c>
    </row>
    <row r="3" spans="1:15">
      <c r="A3" s="6" t="str">
        <f>_xlfn.XLOOKUP(B3,'All '!B:B,'All '!A:A,"No Found")</f>
        <v>TDAM002</v>
      </c>
      <c r="B3" s="51" t="s">
        <v>20</v>
      </c>
      <c r="C3" s="51" t="s">
        <v>13</v>
      </c>
      <c r="D3" s="6">
        <f>COUNTIF($B$3:B23,B3)</f>
        <v>1</v>
      </c>
      <c r="E3" s="21">
        <v>46182</v>
      </c>
      <c r="F3" s="6">
        <v>5</v>
      </c>
      <c r="G3" s="6" t="str">
        <f>IF(F3="","Pending",IF(F3&lt;7,"Weekback","No Weekback"))</f>
        <v>Weekback</v>
      </c>
      <c r="J3">
        <v>2</v>
      </c>
    </row>
    <row r="4" spans="1:15">
      <c r="A4" s="6" t="str">
        <f>_xlfn.XLOOKUP(B4,'All '!B:B,'All '!A:A,"No Found")</f>
        <v>TDAM003</v>
      </c>
      <c r="B4" s="2" t="s">
        <v>26</v>
      </c>
      <c r="C4" s="2" t="s">
        <v>13</v>
      </c>
      <c r="D4" s="6">
        <f>COUNTIF($B$3:B24,B4)</f>
        <v>1</v>
      </c>
      <c r="E4" s="21">
        <v>46182</v>
      </c>
      <c r="F4" s="6">
        <v>5</v>
      </c>
      <c r="G4" s="6" t="str">
        <f>IF(F4="","Pending",IF(F4&lt;7,"Weekback","No Weekback"))</f>
        <v>Weekback</v>
      </c>
    </row>
    <row r="5" spans="1:15" ht="15" customHeight="1">
      <c r="A5" s="6" t="str">
        <f>_xlfn.XLOOKUP(B5,'All '!B:B,'All '!A:A,"No Found")</f>
        <v>TDAM004</v>
      </c>
      <c r="B5" s="2" t="s">
        <v>31</v>
      </c>
      <c r="C5" s="2" t="s">
        <v>13</v>
      </c>
      <c r="D5" s="6">
        <f>COUNTIF($B$3:B25,B5)</f>
        <v>1</v>
      </c>
      <c r="E5" s="21">
        <v>46182</v>
      </c>
      <c r="F5" s="6">
        <v>6</v>
      </c>
      <c r="G5" s="6" t="str">
        <f>IF(F5="","Pending",IF(F5&lt;7,"Weekback","No Weekback"))</f>
        <v>Weekback</v>
      </c>
    </row>
    <row r="6" spans="1:15">
      <c r="A6" s="6" t="str">
        <f>_xlfn.XLOOKUP(B6,'All '!B:B,'All '!A:A,"No Found")</f>
        <v>TDAU001</v>
      </c>
      <c r="B6" s="2" t="s">
        <v>203</v>
      </c>
      <c r="C6" s="2" t="s">
        <v>204</v>
      </c>
      <c r="D6" s="6">
        <f>COUNTIF($B$3:B26,B6)</f>
        <v>1</v>
      </c>
      <c r="E6" s="21">
        <v>46182</v>
      </c>
      <c r="F6" s="6">
        <v>7</v>
      </c>
      <c r="G6" s="6" t="str">
        <f>IF(F6="","Pending",IF(F6&lt;7,"Weekback","No Weekback"))</f>
        <v>No Weekback</v>
      </c>
    </row>
    <row r="7" spans="1:15">
      <c r="A7" s="6" t="str">
        <f>_xlfn.XLOOKUP(B7,'All '!B:B,'All '!A:A,"No Found")</f>
        <v>TDAU002</v>
      </c>
      <c r="B7" s="2" t="s">
        <v>208</v>
      </c>
      <c r="C7" s="2" t="s">
        <v>204</v>
      </c>
      <c r="D7" s="6">
        <f>COUNTIF($B$3:B27,B7)</f>
        <v>1</v>
      </c>
      <c r="E7" s="21">
        <v>46182</v>
      </c>
      <c r="F7" s="6">
        <v>2.2999999999999998</v>
      </c>
      <c r="G7" s="6" t="str">
        <f>IF(F7="","Pending",IF(F7&lt;7,"Weekback","No Weekback"))</f>
        <v>Weekback</v>
      </c>
    </row>
    <row r="8" spans="1:15">
      <c r="A8" s="6" t="str">
        <f>_xlfn.XLOOKUP(B8,'All '!B:B,'All '!A:A,"No Found")</f>
        <v>TDAU003</v>
      </c>
      <c r="B8" s="2" t="s">
        <v>211</v>
      </c>
      <c r="C8" s="2" t="s">
        <v>204</v>
      </c>
      <c r="D8" s="6">
        <f>COUNTIF($B$3:B28,B8)</f>
        <v>1</v>
      </c>
      <c r="E8" s="21">
        <v>46182</v>
      </c>
      <c r="F8" s="6">
        <v>1.3</v>
      </c>
      <c r="G8" s="6" t="str">
        <f>IF(F8="","Pending",IF(F8&lt;7,"Weekback","No Weekback"))</f>
        <v>Weekback</v>
      </c>
    </row>
    <row r="9" spans="1:15">
      <c r="A9" s="6" t="str">
        <f>_xlfn.XLOOKUP(B9,'All '!B:B,'All '!A:A,"No Found")</f>
        <v>TDAU004</v>
      </c>
      <c r="B9" s="2" t="s">
        <v>214</v>
      </c>
      <c r="C9" s="2" t="s">
        <v>204</v>
      </c>
      <c r="D9" s="6">
        <f>COUNTIF($B$3:B29,B9)</f>
        <v>1</v>
      </c>
      <c r="E9" s="21">
        <v>46182</v>
      </c>
      <c r="F9" s="6">
        <v>4</v>
      </c>
      <c r="G9" s="6" t="str">
        <f>IF(F9="","Pending",IF(F9&lt;7,"Weekback","No Weekback"))</f>
        <v>Weekback</v>
      </c>
      <c r="O9" t="s">
        <v>225</v>
      </c>
    </row>
    <row r="10" spans="1:15">
      <c r="A10" s="6" t="str">
        <f>_xlfn.XLOOKUP(B10,'All '!B:B,'All '!A:A,"No Found")</f>
        <v>TDAR002</v>
      </c>
      <c r="B10" s="30" t="s">
        <v>116</v>
      </c>
      <c r="C10" s="30" t="s">
        <v>111</v>
      </c>
      <c r="D10" s="6">
        <f>COUNTIF($B$3:B30,B10)</f>
        <v>1</v>
      </c>
      <c r="E10" s="21">
        <v>46182</v>
      </c>
      <c r="F10" s="6">
        <v>3</v>
      </c>
      <c r="G10" s="6" t="str">
        <f>IF(F10="","Pending",IF(F10&lt;7,"Weekback","No Weekback"))</f>
        <v>Weekback</v>
      </c>
    </row>
    <row r="11" spans="1:15">
      <c r="A11" s="6" t="str">
        <f>_xlfn.XLOOKUP(B11,'All '!B:B,'All '!A:A,"No Found")</f>
        <v>TDAR003</v>
      </c>
      <c r="B11" s="2" t="s">
        <v>119</v>
      </c>
      <c r="C11" s="2" t="s">
        <v>111</v>
      </c>
      <c r="D11" s="6">
        <f>COUNTIF($B$3:B31,B11)</f>
        <v>1</v>
      </c>
      <c r="E11" s="21">
        <v>46182</v>
      </c>
      <c r="F11" s="6">
        <v>6</v>
      </c>
      <c r="G11" s="6" t="str">
        <f>IF(F11="","Pending",IF(F11&lt;7,"Weekback","No Weekback"))</f>
        <v>Weekback</v>
      </c>
    </row>
    <row r="12" spans="1:15">
      <c r="A12" s="6" t="str">
        <f>_xlfn.XLOOKUP(B12,'All '!B:B,'All '!A:A,"No Found")</f>
        <v>TDAR005</v>
      </c>
      <c r="B12" s="2" t="s">
        <v>125</v>
      </c>
      <c r="C12" s="2" t="s">
        <v>111</v>
      </c>
      <c r="D12" s="6">
        <f>COUNTIF($B$3:B32,B12)</f>
        <v>1</v>
      </c>
      <c r="E12" s="21">
        <v>46182</v>
      </c>
      <c r="F12" s="6">
        <v>4</v>
      </c>
      <c r="G12" s="6" t="str">
        <f>IF(F12="","Pending",IF(F12&lt;7,"Weekback","No Weekback"))</f>
        <v>Weekback</v>
      </c>
    </row>
    <row r="13" spans="1:15">
      <c r="A13" s="6" t="str">
        <f>_xlfn.XLOOKUP(B13,'All '!B:B,'All '!A:A,"No Found")</f>
        <v>TDAR006</v>
      </c>
      <c r="B13" s="2" t="s">
        <v>130</v>
      </c>
      <c r="C13" s="2" t="s">
        <v>111</v>
      </c>
      <c r="D13" s="6">
        <f>COUNTIF($B$3:B33,B13)</f>
        <v>1</v>
      </c>
      <c r="E13" s="21">
        <v>46182</v>
      </c>
      <c r="F13" s="6">
        <v>3</v>
      </c>
      <c r="G13" s="6" t="str">
        <f>IF(F13="","Pending",IF(F13&lt;7,"Weekback","No Weekback"))</f>
        <v>Weekback</v>
      </c>
    </row>
    <row r="14" spans="1:15">
      <c r="A14" s="6" t="str">
        <f>_xlfn.XLOOKUP(B14,'All '!B:B,'All '!A:A,"No Found")</f>
        <v>TDAR007</v>
      </c>
      <c r="B14" s="2" t="s">
        <v>133</v>
      </c>
      <c r="C14" s="2" t="s">
        <v>111</v>
      </c>
      <c r="D14" s="6">
        <f>COUNTIF($B$3:B34,B14)</f>
        <v>1</v>
      </c>
      <c r="E14" s="21">
        <v>46182</v>
      </c>
      <c r="F14" s="6">
        <v>8</v>
      </c>
      <c r="G14" s="6" t="str">
        <f>IF(F14="","Pending",IF(F14&lt;7,"Weekback","No Weekback"))</f>
        <v>No Weekback</v>
      </c>
    </row>
    <row r="15" spans="1:15">
      <c r="A15" s="6" t="str">
        <f>_xlfn.XLOOKUP(B15,'All '!B:B,'All '!A:A,"No Found")</f>
        <v>TDAM006</v>
      </c>
      <c r="B15" s="2" t="s">
        <v>39</v>
      </c>
      <c r="C15" s="2" t="s">
        <v>13</v>
      </c>
      <c r="D15" s="6">
        <f>COUNTIF($B$3:B35,B15)</f>
        <v>1</v>
      </c>
      <c r="E15" s="21">
        <v>46182</v>
      </c>
      <c r="F15" s="6">
        <v>7</v>
      </c>
      <c r="G15" s="6" t="str">
        <f>IF(F15="","Pending",IF(F15&lt;7,"Weekback","No Weekback"))</f>
        <v>No Weekback</v>
      </c>
    </row>
    <row r="16" spans="1:15">
      <c r="A16" s="6" t="str">
        <f>_xlfn.XLOOKUP(B16,'All '!B:B,'All '!A:A,"No Found")</f>
        <v>TDAR009</v>
      </c>
      <c r="B16" s="2" t="s">
        <v>141</v>
      </c>
      <c r="C16" s="2" t="s">
        <v>111</v>
      </c>
      <c r="D16" s="6">
        <f>COUNTIF($B$3:B36,B16)</f>
        <v>1</v>
      </c>
      <c r="E16" s="21">
        <v>46182</v>
      </c>
      <c r="F16" s="6">
        <v>4.5</v>
      </c>
      <c r="G16" s="6" t="str">
        <f>IF(F16="","Pending",IF(F16&lt;7,"Weekback","No Weekback"))</f>
        <v>Weekback</v>
      </c>
    </row>
    <row r="17" spans="1:7">
      <c r="A17" s="6" t="str">
        <f>_xlfn.XLOOKUP(B17,'All '!B:B,'All '!A:A,"No Found")</f>
        <v>TDAR010</v>
      </c>
      <c r="B17" s="2" t="s">
        <v>144</v>
      </c>
      <c r="C17" s="2" t="s">
        <v>111</v>
      </c>
      <c r="D17" s="6">
        <f>COUNTIF($B$3:B37,B17)</f>
        <v>1</v>
      </c>
      <c r="E17" s="21">
        <v>46182</v>
      </c>
      <c r="F17" s="6" t="s">
        <v>226</v>
      </c>
      <c r="G17" s="6" t="str">
        <f>IF(F17="","Pending",IF(F17&lt;7,"Weekback","No Weekback"))</f>
        <v>No Weekback</v>
      </c>
    </row>
    <row r="18" spans="1:7">
      <c r="A18" s="6" t="str">
        <f>_xlfn.XLOOKUP(B18,'All '!B:B,'All '!A:A,"No Found")</f>
        <v>TDAM001</v>
      </c>
      <c r="B18" s="2" t="s">
        <v>12</v>
      </c>
      <c r="C18" s="2" t="s">
        <v>227</v>
      </c>
      <c r="D18" s="6">
        <f>COUNTIF($B$3:B38,B18)</f>
        <v>1</v>
      </c>
      <c r="E18" s="21">
        <v>46182</v>
      </c>
      <c r="F18" s="6">
        <v>5</v>
      </c>
      <c r="G18" s="6" t="str">
        <f>IF(F18="","Pending",IF(F18&lt;7,"Weekback","No Weekback"))</f>
        <v>Weekback</v>
      </c>
    </row>
    <row r="19" spans="1:7">
      <c r="A19" s="6" t="str">
        <f>_xlfn.XLOOKUP(B19,'All '!B:B,'All '!A:A,"No Found")</f>
        <v>TDAM007</v>
      </c>
      <c r="B19" s="2" t="s">
        <v>42</v>
      </c>
      <c r="C19" s="2" t="s">
        <v>13</v>
      </c>
      <c r="D19" s="6">
        <f>COUNTIF($B$3:B39,B19)</f>
        <v>1</v>
      </c>
      <c r="E19" s="21">
        <v>46182</v>
      </c>
      <c r="F19" s="6">
        <v>6</v>
      </c>
      <c r="G19" s="6" t="str">
        <f>IF(F19="","Pending",IF(F19&lt;7,"Weekback","No Weekback"))</f>
        <v>Weekback</v>
      </c>
    </row>
    <row r="20" spans="1:7">
      <c r="A20" s="6" t="str">
        <f>_xlfn.XLOOKUP(B20,'All '!B:B,'All '!A:A,"No Found")</f>
        <v>TDAR012</v>
      </c>
      <c r="B20" s="2" t="s">
        <v>150</v>
      </c>
      <c r="C20" s="2" t="s">
        <v>111</v>
      </c>
      <c r="D20" s="6">
        <f>COUNTIF($B$3:B40,B20)</f>
        <v>1</v>
      </c>
      <c r="E20" s="21">
        <v>46182</v>
      </c>
      <c r="F20" s="6" t="s">
        <v>226</v>
      </c>
      <c r="G20" s="6" t="str">
        <f>IF(F20="","Pending",IF(F20&lt;7,"Weekback","No Weekback"))</f>
        <v>No Weekback</v>
      </c>
    </row>
    <row r="21" spans="1:7">
      <c r="A21" s="6" t="str">
        <f>_xlfn.XLOOKUP(B21,'All '!B:B,'All '!A:A,"No Found")</f>
        <v>TDAR013</v>
      </c>
      <c r="B21" s="2" t="s">
        <v>154</v>
      </c>
      <c r="C21" s="2" t="s">
        <v>111</v>
      </c>
      <c r="D21" s="6">
        <f>COUNTIF($B$3:B41,B21)</f>
        <v>1</v>
      </c>
      <c r="E21" s="21">
        <v>46182</v>
      </c>
      <c r="F21" s="6">
        <v>4</v>
      </c>
      <c r="G21" s="6" t="str">
        <f>IF(F21="","Pending",IF(F21&lt;7,"Weekback","No Weekback"))</f>
        <v>Weekback</v>
      </c>
    </row>
    <row r="22" spans="1:7">
      <c r="A22" s="6" t="str">
        <f>_xlfn.XLOOKUP(B22,'All '!B:B,'All '!A:A,"No Found")</f>
        <v>TDAR014</v>
      </c>
      <c r="B22" s="2" t="s">
        <v>157</v>
      </c>
      <c r="C22" s="2" t="s">
        <v>111</v>
      </c>
      <c r="D22" s="6">
        <f>COUNTIF($B$3:B42,B22)</f>
        <v>1</v>
      </c>
      <c r="E22" s="21">
        <v>46182</v>
      </c>
      <c r="F22" s="6">
        <v>5</v>
      </c>
      <c r="G22" s="6" t="str">
        <f>IF(F22="","Pending",IF(F22&lt;7,"Weekback","No Weekback"))</f>
        <v>Weekback</v>
      </c>
    </row>
    <row r="23" spans="1:7">
      <c r="A23" s="6" t="str">
        <f>_xlfn.XLOOKUP(B23,'All '!B:B,'All '!A:A,"No Found")</f>
        <v>TDAR015</v>
      </c>
      <c r="B23" s="2" t="s">
        <v>160</v>
      </c>
      <c r="C23" s="2" t="s">
        <v>111</v>
      </c>
      <c r="D23" s="6">
        <f>COUNTIF($B$3:B43,B23)</f>
        <v>1</v>
      </c>
      <c r="E23" s="21">
        <v>46182</v>
      </c>
      <c r="F23" s="6" t="s">
        <v>226</v>
      </c>
      <c r="G23" s="6" t="str">
        <f>IF(F23="","Pending",IF(F23&lt;7,"Weekback","No Weekback"))</f>
        <v>No Weekback</v>
      </c>
    </row>
    <row r="24" spans="1:7">
      <c r="A24" s="6" t="str">
        <f>_xlfn.XLOOKUP(B24,'All '!B:B,'All '!A:A,"No Found")</f>
        <v>TDAR016</v>
      </c>
      <c r="B24" s="2" t="s">
        <v>163</v>
      </c>
      <c r="C24" s="2" t="s">
        <v>111</v>
      </c>
      <c r="D24" s="6">
        <f>COUNTIF($B$3:B44,B24)</f>
        <v>1</v>
      </c>
      <c r="E24" s="21">
        <v>46182</v>
      </c>
      <c r="F24" s="6">
        <v>3.5</v>
      </c>
      <c r="G24" s="6" t="str">
        <f>IF(F24="","Pending",IF(F24&lt;7,"Weekback","No Weekback"))</f>
        <v>Weekback</v>
      </c>
    </row>
    <row r="25" spans="1:7">
      <c r="A25" s="6" t="str">
        <f>_xlfn.XLOOKUP(B25,'All '!B:B,'All '!A:A,"No Found")</f>
        <v>TDAR017</v>
      </c>
      <c r="B25" s="2" t="s">
        <v>165</v>
      </c>
      <c r="C25" s="2" t="s">
        <v>111</v>
      </c>
      <c r="D25" s="6">
        <f>COUNTIF($B$3:B45,B25)</f>
        <v>1</v>
      </c>
      <c r="E25" s="21">
        <v>46182</v>
      </c>
      <c r="F25" s="6">
        <v>0.5</v>
      </c>
      <c r="G25" s="6" t="str">
        <f>IF(F25="","Pending",IF(F25&lt;7,"Weekback","No Weekback"))</f>
        <v>Weekback</v>
      </c>
    </row>
    <row r="26" spans="1:7">
      <c r="A26" s="6" t="str">
        <f>_xlfn.XLOOKUP(B26,'All '!B:B,'All '!A:A,"No Found")</f>
        <v>TDAR018</v>
      </c>
      <c r="B26" s="2" t="s">
        <v>168</v>
      </c>
      <c r="C26" s="2" t="s">
        <v>111</v>
      </c>
      <c r="D26" s="6">
        <f>COUNTIF($B$3:B46,B26)</f>
        <v>1</v>
      </c>
      <c r="E26" s="21">
        <v>46182</v>
      </c>
      <c r="F26" s="6">
        <v>5</v>
      </c>
      <c r="G26" s="6" t="str">
        <f>IF(F26="","Pending",IF(F26&lt;7,"Weekback","No Weekback"))</f>
        <v>Weekback</v>
      </c>
    </row>
    <row r="27" spans="1:7">
      <c r="A27" s="6" t="str">
        <f>_xlfn.XLOOKUP(B27,'All '!B:B,'All '!A:A,"No Found")</f>
        <v>TDAR019</v>
      </c>
      <c r="B27" s="2" t="s">
        <v>171</v>
      </c>
      <c r="C27" s="2" t="s">
        <v>111</v>
      </c>
      <c r="D27" s="6">
        <f>COUNTIF($B$3:B47,B27)</f>
        <v>1</v>
      </c>
      <c r="E27" s="21">
        <v>46182</v>
      </c>
      <c r="F27" s="6">
        <v>7.5</v>
      </c>
      <c r="G27" s="6" t="str">
        <f>IF(F27="","Pending",IF(F27&lt;7,"Weekback","No Weekback"))</f>
        <v>No Weekback</v>
      </c>
    </row>
    <row r="28" spans="1:7">
      <c r="A28" s="6" t="str">
        <f>_xlfn.XLOOKUP(B28,'All '!B:B,'All '!A:A,"No Found")</f>
        <v>TDAR020</v>
      </c>
      <c r="B28" s="2" t="s">
        <v>174</v>
      </c>
      <c r="C28" s="2" t="s">
        <v>111</v>
      </c>
      <c r="D28" s="6">
        <f>COUNTIF($B$3:B48,B28)</f>
        <v>1</v>
      </c>
      <c r="E28" s="21">
        <v>46182</v>
      </c>
      <c r="F28" s="6">
        <v>4</v>
      </c>
      <c r="G28" s="6" t="str">
        <f>IF(F28="","Pending",IF(F28&lt;7,"Weekback","No Weekback"))</f>
        <v>Weekback</v>
      </c>
    </row>
    <row r="29" spans="1:7">
      <c r="A29" s="6" t="str">
        <f>_xlfn.XLOOKUP(B29,'All '!B:B,'All '!A:A,"No Found")</f>
        <v>TDAR021</v>
      </c>
      <c r="B29" s="2" t="s">
        <v>177</v>
      </c>
      <c r="C29" s="2" t="s">
        <v>111</v>
      </c>
      <c r="D29" s="6">
        <f>COUNTIF($B$3:B49,B29)</f>
        <v>1</v>
      </c>
      <c r="E29" s="21">
        <v>46182</v>
      </c>
      <c r="F29" s="6">
        <v>5</v>
      </c>
      <c r="G29" s="6" t="str">
        <f>IF(F29="","Pending",IF(F29&lt;7,"Weekback","No Weekback"))</f>
        <v>Weekback</v>
      </c>
    </row>
    <row r="30" spans="1:7">
      <c r="A30" s="6" t="str">
        <f>_xlfn.XLOOKUP(B30,'All '!B:B,'All '!A:A,"No Found")</f>
        <v>TDAA003</v>
      </c>
      <c r="B30" s="2" t="s">
        <v>106</v>
      </c>
      <c r="C30" s="2" t="s">
        <v>97</v>
      </c>
      <c r="D30" s="6">
        <f>COUNTIF($B$3:B50,B30)</f>
        <v>1</v>
      </c>
      <c r="E30" s="21">
        <v>46182</v>
      </c>
      <c r="F30" s="6">
        <v>4</v>
      </c>
      <c r="G30" s="6" t="str">
        <f>IF(F30="","Pending",IF(F30&lt;7,"Weekback","No Weekback"))</f>
        <v>Weekback</v>
      </c>
    </row>
    <row r="31" spans="1:7">
      <c r="A31" s="6" t="str">
        <f>_xlfn.XLOOKUP(B31,'All '!B:B,'All '!A:A,"No Found")</f>
        <v>TDAF002</v>
      </c>
      <c r="B31" s="2" t="s">
        <v>71</v>
      </c>
      <c r="C31" s="2" t="s">
        <v>68</v>
      </c>
      <c r="D31" s="6">
        <f>COUNTIF($B$3:B51,B31)</f>
        <v>1</v>
      </c>
      <c r="E31" s="21">
        <v>46182</v>
      </c>
      <c r="F31" s="6">
        <v>7</v>
      </c>
      <c r="G31" s="6" t="str">
        <f>IF(F31="","Pending",IF(F31&lt;7,"Weekback","No Weekback"))</f>
        <v>No Weekback</v>
      </c>
    </row>
    <row r="32" spans="1:7">
      <c r="A32" s="6" t="str">
        <f>_xlfn.XLOOKUP(B32,'All '!B:B,'All '!A:A,"No Found")</f>
        <v>TDAF003</v>
      </c>
      <c r="B32" s="2" t="s">
        <v>76</v>
      </c>
      <c r="C32" s="2" t="s">
        <v>68</v>
      </c>
      <c r="D32" s="6">
        <f>COUNTIF($B$3:B52,B32)</f>
        <v>1</v>
      </c>
      <c r="E32" s="21">
        <v>46182</v>
      </c>
      <c r="F32" s="6">
        <v>7.5</v>
      </c>
      <c r="G32" s="6" t="str">
        <f>IF(F32="","Pending",IF(F32&lt;7,"Weekback","No Weekback"))</f>
        <v>No Weekback</v>
      </c>
    </row>
    <row r="33" spans="1:7">
      <c r="A33" s="6" t="str">
        <f>_xlfn.XLOOKUP(B33,'All '!B:B,'All '!A:A,"No Found")</f>
        <v>TDAR022</v>
      </c>
      <c r="B33" s="2" t="s">
        <v>182</v>
      </c>
      <c r="C33" s="2" t="s">
        <v>111</v>
      </c>
      <c r="D33" s="6">
        <f>COUNTIF($B$3:B53,B33)</f>
        <v>1</v>
      </c>
      <c r="E33" s="21">
        <v>46182</v>
      </c>
      <c r="F33" s="6">
        <v>7</v>
      </c>
      <c r="G33" s="6" t="str">
        <f>IF(F33="","Pending",IF(F33&lt;7,"Weekback","No Weekback"))</f>
        <v>No Weekback</v>
      </c>
    </row>
    <row r="34" spans="1:7">
      <c r="A34" s="6" t="str">
        <f>_xlfn.XLOOKUP(B34,'All '!B:B,'All '!A:A,"No Found")</f>
        <v>TDAU005</v>
      </c>
      <c r="B34" s="30" t="s">
        <v>217</v>
      </c>
      <c r="C34" s="30" t="s">
        <v>204</v>
      </c>
      <c r="D34" s="6">
        <v>1</v>
      </c>
      <c r="E34" s="21">
        <v>46191</v>
      </c>
      <c r="F34" s="6">
        <v>3</v>
      </c>
      <c r="G34" s="6" t="str">
        <f>IF(F34="","Pending",IF(F34&lt;7,"Weekback","No Weekback"))</f>
        <v>Weekback</v>
      </c>
    </row>
    <row r="35" spans="1:7">
      <c r="A35" s="6" t="str">
        <f>_xlfn.XLOOKUP(B35,'All '!B:B,'All '!A:A,"No Found")</f>
        <v>TDAR001</v>
      </c>
      <c r="B35" s="30" t="s">
        <v>110</v>
      </c>
      <c r="C35" s="30" t="s">
        <v>111</v>
      </c>
      <c r="D35" s="6">
        <v>1</v>
      </c>
      <c r="E35" s="21">
        <v>46191</v>
      </c>
      <c r="F35" s="6">
        <v>8</v>
      </c>
      <c r="G35" s="6" t="str">
        <f>IF(F35="","Pending",IF(F35&lt;7,"Weekback","No Weekback"))</f>
        <v>No Weekback</v>
      </c>
    </row>
    <row r="36" spans="1:7">
      <c r="A36" s="6" t="str">
        <f>_xlfn.XLOOKUP(B36,'All '!B:B,'All '!A:A,"No Found")</f>
        <v>TDAR008</v>
      </c>
      <c r="B36" s="30" t="s">
        <v>137</v>
      </c>
      <c r="C36" s="30" t="s">
        <v>111</v>
      </c>
      <c r="D36" s="6">
        <v>1</v>
      </c>
      <c r="E36" s="21">
        <v>46191</v>
      </c>
      <c r="F36" s="6">
        <v>5</v>
      </c>
      <c r="G36" s="6" t="str">
        <f>IF(F36="","Pending",IF(F36&lt;7,"Weekback","No Weekback"))</f>
        <v>Weekback</v>
      </c>
    </row>
    <row r="37" spans="1:7">
      <c r="A37" s="6" t="str">
        <f>_xlfn.XLOOKUP(B37,'All '!B:B,'All '!A:A,"No Found")</f>
        <v>TDAA002</v>
      </c>
      <c r="B37" s="30" t="s">
        <v>101</v>
      </c>
      <c r="C37" s="30" t="s">
        <v>97</v>
      </c>
      <c r="D37" s="6">
        <v>1</v>
      </c>
      <c r="E37" s="21">
        <v>46191</v>
      </c>
      <c r="F37" s="6">
        <v>5.5</v>
      </c>
      <c r="G37" s="6" t="str">
        <f>IF(F37="","Pending",IF(F37&lt;7,"Weekback","No Weekback"))</f>
        <v>Weekback</v>
      </c>
    </row>
    <row r="38" spans="1:7">
      <c r="A38" s="6" t="str">
        <f>_xlfn.XLOOKUP(B38,'All '!B:B,'All '!A:A,"No Found")</f>
        <v>TDAM009</v>
      </c>
      <c r="B38" s="30" t="s">
        <v>52</v>
      </c>
      <c r="C38" s="30" t="s">
        <v>13</v>
      </c>
      <c r="D38" s="6">
        <v>1</v>
      </c>
      <c r="E38" s="21">
        <v>46191</v>
      </c>
      <c r="F38" s="6">
        <v>5</v>
      </c>
      <c r="G38" s="6" t="str">
        <f>IF(F38="","Pending",IF(F38&lt;7,"Weekback","No Weekback"))</f>
        <v>Weekback</v>
      </c>
    </row>
    <row r="39" spans="1:7">
      <c r="A39" s="6" t="str">
        <f>_xlfn.XLOOKUP(B39,'All '!B:B,'All '!A:A,"No Found")</f>
        <v>TDAN001</v>
      </c>
      <c r="B39" s="48" t="s">
        <v>88</v>
      </c>
      <c r="C39" s="30" t="s">
        <v>89</v>
      </c>
      <c r="D39" s="6">
        <v>1</v>
      </c>
      <c r="E39" s="21">
        <v>46191</v>
      </c>
      <c r="F39" s="6">
        <v>7</v>
      </c>
      <c r="G39" s="6" t="str">
        <f>IF(F39="","Pending",IF(F39&lt;7,"Weekback","No Weekback"))</f>
        <v>No Weekback</v>
      </c>
    </row>
    <row r="40" spans="1:7">
      <c r="A40" s="6" t="str">
        <f>_xlfn.XLOOKUP(B40,'All '!B:B,'All '!A:A,"No Found")</f>
        <v>TDAM008</v>
      </c>
      <c r="B40" s="6" t="s">
        <v>228</v>
      </c>
      <c r="C40" s="6" t="str">
        <f>_xlfn.XLOOKUP($B40,'All '!B:B,'All '!C:C,"No Found")</f>
        <v>MERN</v>
      </c>
      <c r="D40" s="6">
        <v>1</v>
      </c>
      <c r="E40" s="21">
        <v>46206</v>
      </c>
      <c r="F40" s="6">
        <v>8</v>
      </c>
      <c r="G40" s="6" t="str">
        <f>IF(F40="","Pending",IF(F40&lt;7,"Weekback","No Weekback"))</f>
        <v>No Weekback</v>
      </c>
    </row>
    <row r="41" spans="1:7">
      <c r="A41" s="6" t="str">
        <f>_xlfn.XLOOKUP(B41,'All '!B:B,'All '!A:A,"No Found")</f>
        <v>TDAP001</v>
      </c>
      <c r="B41" s="6" t="s">
        <v>60</v>
      </c>
      <c r="C41" s="6" t="str">
        <f>_xlfn.XLOOKUP($B41,'All '!B:B,'All '!C:C,"No Found")</f>
        <v>Python</v>
      </c>
      <c r="D41" s="6">
        <v>1</v>
      </c>
      <c r="E41" s="21">
        <v>46223</v>
      </c>
      <c r="F41" s="6" t="s">
        <v>229</v>
      </c>
      <c r="G41" s="6" t="str">
        <f>IF(F41="","Pending",IF(F41&lt;7,"Weekback","No Weekback"))</f>
        <v>No Weekback</v>
      </c>
    </row>
    <row r="42" spans="1:7">
      <c r="A42" s="6" t="str">
        <f>_xlfn.XLOOKUP(B42,'All '!B:B,'All '!A:A,"No Found")</f>
        <v>TDAM010</v>
      </c>
      <c r="B42" s="6" t="s">
        <v>55</v>
      </c>
      <c r="C42" s="6" t="str">
        <f>_xlfn.XLOOKUP($B42,'All '!B:B,'All '!C:C,"No Found")</f>
        <v>MERN</v>
      </c>
      <c r="D42" s="6">
        <v>1</v>
      </c>
      <c r="E42" s="21">
        <v>46218</v>
      </c>
      <c r="F42" s="6">
        <v>6</v>
      </c>
      <c r="G42" s="6" t="str">
        <f>IF(F42="","Pending",IF(F42&lt;7,"Weekback","No Weekback"))</f>
        <v>Weekback</v>
      </c>
    </row>
    <row r="43" spans="1:7">
      <c r="A43" s="6" t="str">
        <f>_xlfn.XLOOKUP(B43,'All '!B:B,'All '!A:A,"No Found")</f>
        <v>TDAM005</v>
      </c>
      <c r="B43" s="30" t="s">
        <v>34</v>
      </c>
      <c r="C43" s="6" t="str">
        <f>_xlfn.XLOOKUP($B43,'All '!B:B,'All '!C:C,"No Found")</f>
        <v>MERN</v>
      </c>
      <c r="D43" s="6">
        <v>1</v>
      </c>
      <c r="E43" s="21">
        <v>46212</v>
      </c>
      <c r="F43" s="6">
        <v>5</v>
      </c>
      <c r="G43" s="6" t="str">
        <f>IF(F43="","Pending",IF(F43&lt;7,"Weekback","No Weekback"))</f>
        <v>Weekback</v>
      </c>
    </row>
    <row r="44" spans="1:7">
      <c r="A44" s="6" t="str">
        <f>_xlfn.XLOOKUP(B44,'All '!B:B,'All '!A:A,"No Found")</f>
        <v>TDAF004</v>
      </c>
      <c r="B44" s="6" t="s">
        <v>80</v>
      </c>
      <c r="C44" s="6" t="str">
        <f>_xlfn.XLOOKUP($B44,'All '!B:B,'All '!C:C,"No Found")</f>
        <v>python flutter</v>
      </c>
      <c r="D44" s="6">
        <v>1</v>
      </c>
      <c r="E44" s="21">
        <v>46219</v>
      </c>
      <c r="F44" s="6">
        <v>5.5</v>
      </c>
      <c r="G44" s="6" t="str">
        <f>IF(F44="","Pending",IF(F44&lt;7,"Weekback","No Weekback"))</f>
        <v>Weekback</v>
      </c>
    </row>
    <row r="45" spans="1:7">
      <c r="A45" s="6" t="str">
        <f>_xlfn.XLOOKUP(B45,'All '!B:B,'All '!A:A,"No Found")</f>
        <v>TDAU006</v>
      </c>
      <c r="B45" s="6" t="s">
        <v>219</v>
      </c>
      <c r="C45" s="6" t="str">
        <f>_xlfn.XLOOKUP($B45,'All '!B:B,'All '!C:C,"No Found")</f>
        <v>UX-React</v>
      </c>
      <c r="D45" s="6">
        <v>1</v>
      </c>
      <c r="E45" s="21">
        <v>46212</v>
      </c>
      <c r="F45" s="6">
        <v>7</v>
      </c>
      <c r="G45" s="6" t="str">
        <f>IF(F45="","Pending",IF(F45&lt;7,"Weekback","No Weekback"))</f>
        <v>No Weekback</v>
      </c>
    </row>
    <row r="46" spans="1:7">
      <c r="A46" s="6" t="str">
        <f>_xlfn.XLOOKUP(B46,'All '!B:B,'All '!A:A,"No Found")</f>
        <v>TDAR011</v>
      </c>
      <c r="B46" s="6" t="s">
        <v>147</v>
      </c>
      <c r="C46" s="6" t="str">
        <f>_xlfn.XLOOKUP($B46,'All '!B:B,'All '!C:C,"No Found")</f>
        <v>PythonDjango-React</v>
      </c>
      <c r="D46" s="6">
        <v>1</v>
      </c>
      <c r="E46" s="21">
        <v>46221</v>
      </c>
      <c r="G46" s="6" t="str">
        <f>IF(F46="","Pending",IF(F46&lt;7,"Weekback","No Weekback"))</f>
        <v>Pending</v>
      </c>
    </row>
    <row r="47" spans="1:7">
      <c r="A47" s="6" t="str">
        <f>_xlfn.XLOOKUP(B47,'All '!B:B,'All '!A:A,"No Found")</f>
        <v>TDAN002</v>
      </c>
      <c r="B47" s="6" t="s">
        <v>93</v>
      </c>
      <c r="C47" s="6" t="str">
        <f>_xlfn.XLOOKUP($B47,'All '!B:B,'All '!C:C,"No Found")</f>
        <v>Python Next js</v>
      </c>
      <c r="D47" s="6">
        <v>1</v>
      </c>
      <c r="E47" s="21">
        <v>46226</v>
      </c>
      <c r="G47" s="6" t="str">
        <f>IF(F47="","Pending",IF(F47&lt;7,"Weekback","No Weekback"))</f>
        <v>Pending</v>
      </c>
    </row>
    <row r="48" spans="1:7">
      <c r="A48" s="6" t="str">
        <f>_xlfn.XLOOKUP(B48,'All '!B:B,'All '!A:A,"No Found")</f>
        <v>TDAA001</v>
      </c>
      <c r="B48" s="30" t="s">
        <v>96</v>
      </c>
      <c r="C48" s="30" t="s">
        <v>97</v>
      </c>
      <c r="D48" s="6">
        <v>2</v>
      </c>
      <c r="E48" s="21">
        <v>46191</v>
      </c>
      <c r="F48" s="6" t="s">
        <v>226</v>
      </c>
      <c r="G48" s="6" t="str">
        <f>IF(F48="","Pending",IF(F48&lt;7,"Weekback","No Weekback"))</f>
        <v>No Weekback</v>
      </c>
    </row>
    <row r="49" spans="1:7">
      <c r="A49" s="6" t="str">
        <f>_xlfn.XLOOKUP(B49,'All '!B:B,'All '!A:A,"No Found")</f>
        <v>TDAM004</v>
      </c>
      <c r="B49" s="30" t="s">
        <v>31</v>
      </c>
      <c r="C49" s="30" t="s">
        <v>13</v>
      </c>
      <c r="D49" s="6">
        <v>2</v>
      </c>
      <c r="E49" s="21">
        <v>46191</v>
      </c>
      <c r="F49" s="6">
        <v>2.5</v>
      </c>
      <c r="G49" s="6" t="str">
        <f>IF(F49="","Pending",IF(F49&lt;7,"Weekback","No Weekback"))</f>
        <v>Weekback</v>
      </c>
    </row>
    <row r="50" spans="1:7">
      <c r="A50" s="6" t="str">
        <f>_xlfn.XLOOKUP(B50,'All '!B:B,'All '!A:A,"No Found")</f>
        <v>TDAU001</v>
      </c>
      <c r="B50" s="30" t="s">
        <v>203</v>
      </c>
      <c r="C50" s="30" t="s">
        <v>204</v>
      </c>
      <c r="D50" s="6">
        <v>2</v>
      </c>
      <c r="E50" s="21">
        <v>46191</v>
      </c>
      <c r="F50" s="6">
        <v>7.5</v>
      </c>
      <c r="G50" s="6" t="str">
        <f>IF(F50="","Pending",IF(F50&lt;7,"Weekback","No Weekback"))</f>
        <v>No Weekback</v>
      </c>
    </row>
    <row r="51" spans="1:7">
      <c r="A51" s="6" t="str">
        <f>_xlfn.XLOOKUP(B51,'All '!B:B,'All '!A:A,"No Found")</f>
        <v>TDAU002</v>
      </c>
      <c r="B51" s="30" t="s">
        <v>208</v>
      </c>
      <c r="C51" s="30" t="s">
        <v>204</v>
      </c>
      <c r="D51" s="6">
        <v>2</v>
      </c>
      <c r="E51" s="21">
        <v>46191</v>
      </c>
      <c r="F51" s="6">
        <v>5</v>
      </c>
      <c r="G51" s="6" t="str">
        <f>IF(F51="","Pending",IF(F51&lt;7,"Weekback","No Weekback"))</f>
        <v>Weekback</v>
      </c>
    </row>
    <row r="52" spans="1:7">
      <c r="A52" s="6" t="str">
        <f>_xlfn.XLOOKUP(B52,'All '!B:B,'All '!A:A,"No Found")</f>
        <v>TDAU004</v>
      </c>
      <c r="B52" s="30" t="s">
        <v>214</v>
      </c>
      <c r="C52" s="30" t="s">
        <v>204</v>
      </c>
      <c r="D52" s="6">
        <v>2</v>
      </c>
      <c r="E52" s="21">
        <v>46191</v>
      </c>
      <c r="F52" s="6">
        <v>4.5</v>
      </c>
      <c r="G52" s="6" t="str">
        <f>IF(F52="","Pending",IF(F52&lt;7,"Weekback","No Weekback"))</f>
        <v>Weekback</v>
      </c>
    </row>
    <row r="53" spans="1:7">
      <c r="A53" s="6" t="str">
        <f>_xlfn.XLOOKUP(B53,'All '!B:B,'All '!A:A,"No Found")</f>
        <v>TDAR003</v>
      </c>
      <c r="B53" s="30" t="s">
        <v>119</v>
      </c>
      <c r="C53" s="30" t="s">
        <v>111</v>
      </c>
      <c r="D53" s="6">
        <v>2</v>
      </c>
      <c r="E53" s="21">
        <v>46191</v>
      </c>
      <c r="F53" s="6">
        <v>5</v>
      </c>
      <c r="G53" s="6" t="str">
        <f>IF(F53="","Pending",IF(F53&lt;7,"Weekback","No Weekback"))</f>
        <v>Weekback</v>
      </c>
    </row>
    <row r="54" spans="1:7">
      <c r="A54" s="6" t="str">
        <f>_xlfn.XLOOKUP(B54,'All '!B:B,'All '!A:A,"No Found")</f>
        <v>TDAR009</v>
      </c>
      <c r="B54" s="30" t="s">
        <v>141</v>
      </c>
      <c r="C54" s="30" t="s">
        <v>111</v>
      </c>
      <c r="D54" s="6">
        <v>2</v>
      </c>
      <c r="E54" s="21">
        <v>46191</v>
      </c>
      <c r="F54" s="6">
        <v>7.5</v>
      </c>
      <c r="G54" s="6" t="str">
        <f>IF(F54="","Pending",IF(F54&lt;7,"Weekback","No Weekback"))</f>
        <v>No Weekback</v>
      </c>
    </row>
    <row r="55" spans="1:7">
      <c r="A55" s="6" t="str">
        <f>_xlfn.XLOOKUP(B55,'All '!B:B,'All '!A:A,"No Found")</f>
        <v>TDAR010</v>
      </c>
      <c r="B55" s="30" t="s">
        <v>144</v>
      </c>
      <c r="C55" s="30" t="s">
        <v>111</v>
      </c>
      <c r="D55" s="6">
        <v>2</v>
      </c>
      <c r="E55" s="21">
        <v>46191</v>
      </c>
      <c r="F55" s="6">
        <v>6.75</v>
      </c>
      <c r="G55" s="6" t="str">
        <f>IF(F55="","Pending",IF(F55&lt;7,"Weekback","No Weekback"))</f>
        <v>Weekback</v>
      </c>
    </row>
    <row r="56" spans="1:7">
      <c r="A56" s="6" t="str">
        <f>_xlfn.XLOOKUP(B56,'All '!B:B,'All '!A:A,"No Found")</f>
        <v>TDAM001</v>
      </c>
      <c r="B56" s="30" t="s">
        <v>12</v>
      </c>
      <c r="C56" s="30" t="s">
        <v>227</v>
      </c>
      <c r="D56" s="6">
        <v>2</v>
      </c>
      <c r="E56" s="21">
        <v>46191</v>
      </c>
      <c r="F56" s="6">
        <v>3</v>
      </c>
      <c r="G56" s="6" t="str">
        <f>IF(F56="","Pending",IF(F56&lt;7,"Weekback","No Weekback"))</f>
        <v>Weekback</v>
      </c>
    </row>
    <row r="57" spans="1:7">
      <c r="A57" s="6" t="str">
        <f>_xlfn.XLOOKUP(B57,'All '!B:B,'All '!A:A,"No Found")</f>
        <v>TDAM007</v>
      </c>
      <c r="B57" s="30" t="s">
        <v>42</v>
      </c>
      <c r="C57" s="30" t="s">
        <v>13</v>
      </c>
      <c r="D57" s="6">
        <v>2</v>
      </c>
      <c r="E57" s="21">
        <v>46191</v>
      </c>
      <c r="F57" s="6">
        <v>2</v>
      </c>
      <c r="G57" s="6" t="str">
        <f>IF(F57="","Pending",IF(F57&lt;7,"Weekback","No Weekback"))</f>
        <v>Weekback</v>
      </c>
    </row>
    <row r="58" spans="1:7">
      <c r="A58" s="6" t="str">
        <f>_xlfn.XLOOKUP(B58,'All '!B:B,'All '!A:A,"No Found")</f>
        <v>TDAR012</v>
      </c>
      <c r="B58" s="30" t="s">
        <v>150</v>
      </c>
      <c r="C58" s="30" t="s">
        <v>111</v>
      </c>
      <c r="D58" s="6">
        <v>2</v>
      </c>
      <c r="E58" s="21">
        <v>46191</v>
      </c>
      <c r="F58" s="6">
        <v>4.5</v>
      </c>
      <c r="G58" s="6" t="str">
        <f>IF(F58="","Pending",IF(F58&lt;7,"Weekback","No Weekback"))</f>
        <v>Weekback</v>
      </c>
    </row>
    <row r="59" spans="1:7">
      <c r="A59" s="6" t="str">
        <f>_xlfn.XLOOKUP(B59,'All '!B:B,'All '!A:A,"No Found")</f>
        <v>TDAR013</v>
      </c>
      <c r="B59" s="30" t="s">
        <v>154</v>
      </c>
      <c r="C59" s="30" t="s">
        <v>111</v>
      </c>
      <c r="D59" s="6">
        <v>2</v>
      </c>
      <c r="E59" s="21">
        <v>46191</v>
      </c>
      <c r="F59" s="6">
        <v>7</v>
      </c>
      <c r="G59" s="6" t="str">
        <f>IF(F59="","Pending",IF(F59&lt;7,"Weekback","No Weekback"))</f>
        <v>No Weekback</v>
      </c>
    </row>
    <row r="60" spans="1:7">
      <c r="A60" s="6" t="str">
        <f>_xlfn.XLOOKUP(B60,'All '!B:B,'All '!A:A,"No Found")</f>
        <v>TDAR014</v>
      </c>
      <c r="B60" s="30" t="s">
        <v>157</v>
      </c>
      <c r="C60" s="30" t="s">
        <v>111</v>
      </c>
      <c r="D60" s="6">
        <v>2</v>
      </c>
      <c r="E60" s="21">
        <v>46191</v>
      </c>
      <c r="F60" s="6">
        <v>5</v>
      </c>
      <c r="G60" s="6" t="str">
        <f>IF(F60="","Pending",IF(F60&lt;7,"Weekback","No Weekback"))</f>
        <v>Weekback</v>
      </c>
    </row>
    <row r="61" spans="1:7">
      <c r="A61" s="6" t="str">
        <f>_xlfn.XLOOKUP(B61,'All '!B:B,'All '!A:A,"No Found")</f>
        <v>TDAR016</v>
      </c>
      <c r="B61" s="30" t="s">
        <v>163</v>
      </c>
      <c r="C61" s="30" t="s">
        <v>111</v>
      </c>
      <c r="D61" s="6">
        <v>2</v>
      </c>
      <c r="E61" s="21">
        <v>46191</v>
      </c>
      <c r="F61" s="6">
        <v>8.5</v>
      </c>
      <c r="G61" s="6" t="str">
        <f>IF(F61="","Pending",IF(F61&lt;7,"Weekback","No Weekback"))</f>
        <v>No Weekback</v>
      </c>
    </row>
    <row r="62" spans="1:7">
      <c r="A62" s="6" t="str">
        <f>_xlfn.XLOOKUP(B62,'All '!B:B,'All '!A:A,"No Found")</f>
        <v>TDAR021</v>
      </c>
      <c r="B62" s="30" t="s">
        <v>177</v>
      </c>
      <c r="C62" s="30" t="s">
        <v>111</v>
      </c>
      <c r="D62" s="6">
        <v>2</v>
      </c>
      <c r="E62" s="21">
        <v>46191</v>
      </c>
      <c r="F62" s="6">
        <v>9.5</v>
      </c>
      <c r="G62" s="6" t="str">
        <f>IF(F62="","Pending",IF(F62&lt;7,"Weekback","No Weekback"))</f>
        <v>No Weekback</v>
      </c>
    </row>
    <row r="63" spans="1:7">
      <c r="A63" s="6" t="str">
        <f>_xlfn.XLOOKUP(B63,'All '!B:B,'All '!A:A,"No Found")</f>
        <v>TDAR022</v>
      </c>
      <c r="B63" s="30" t="s">
        <v>182</v>
      </c>
      <c r="C63" s="30" t="s">
        <v>111</v>
      </c>
      <c r="D63" s="6">
        <v>2</v>
      </c>
      <c r="E63" s="21">
        <v>46191</v>
      </c>
      <c r="F63" s="6">
        <v>3</v>
      </c>
      <c r="G63" s="6" t="str">
        <f>IF(F63="","Pending",IF(F63&lt;7,"Weekback","No Weekback"))</f>
        <v>Weekback</v>
      </c>
    </row>
    <row r="64" spans="1:7">
      <c r="A64" s="6" t="str">
        <f>_xlfn.XLOOKUP(B64,'All '!B:B,'All '!A:A,"No Found")</f>
        <v>TDAM009</v>
      </c>
      <c r="B64" s="6" t="s">
        <v>52</v>
      </c>
      <c r="C64" s="6" t="str">
        <f>_xlfn.XLOOKUP($B64,'All '!B:B,'All '!C:C,"No Found")</f>
        <v>MERN</v>
      </c>
      <c r="D64" s="6">
        <v>2</v>
      </c>
      <c r="E64" s="21">
        <v>46206</v>
      </c>
      <c r="F64" s="6">
        <v>8</v>
      </c>
      <c r="G64" s="6" t="str">
        <f>IF(F64="","Pending",IF(F64&lt;7,"Weekback","No Weekback"))</f>
        <v>No Weekback</v>
      </c>
    </row>
    <row r="65" spans="1:7">
      <c r="A65" s="6" t="str">
        <f>_xlfn.XLOOKUP(B65,'All '!B:B,'All '!A:A,"No Found")</f>
        <v>TDAM003</v>
      </c>
      <c r="B65" s="6" t="s">
        <v>26</v>
      </c>
      <c r="C65" s="6" t="str">
        <f>_xlfn.XLOOKUP($B65,'All '!B:B,'All '!C:C,"No Found")</f>
        <v>MERN</v>
      </c>
      <c r="D65" s="6">
        <v>2</v>
      </c>
      <c r="E65" s="21">
        <v>46218</v>
      </c>
      <c r="F65" s="6" t="s">
        <v>229</v>
      </c>
      <c r="G65" s="6" t="str">
        <f>IF(F65="","Pending",IF(F65&lt;7,"Weekback","No Weekback"))</f>
        <v>No Weekback</v>
      </c>
    </row>
    <row r="66" spans="1:7">
      <c r="A66" s="6" t="str">
        <f>_xlfn.XLOOKUP(B66,'All '!B:B,'All '!A:A,"No Found")</f>
        <v>TDAM006</v>
      </c>
      <c r="B66" s="6" t="s">
        <v>39</v>
      </c>
      <c r="C66" s="6" t="str">
        <f>_xlfn.XLOOKUP($B66,'All '!B:B,'All '!C:C,"No Found")</f>
        <v>MERN</v>
      </c>
      <c r="D66" s="6">
        <v>2</v>
      </c>
      <c r="E66" s="21">
        <v>46218</v>
      </c>
      <c r="F66" s="6">
        <v>5</v>
      </c>
      <c r="G66" s="6" t="str">
        <f>IF(F66="","Pending",IF(F66&lt;7,"Weekback","No Weekback"))</f>
        <v>Weekback</v>
      </c>
    </row>
    <row r="67" spans="1:7">
      <c r="A67" s="6" t="str">
        <f>_xlfn.XLOOKUP(B67,'All '!B:B,'All '!A:A,"No Found")</f>
        <v>TDAF003</v>
      </c>
      <c r="B67" s="6" t="s">
        <v>76</v>
      </c>
      <c r="C67" s="6" t="str">
        <f>_xlfn.XLOOKUP($B67,'All '!B:B,'All '!C:C,"No Found")</f>
        <v>python flutter</v>
      </c>
      <c r="D67" s="6">
        <v>2</v>
      </c>
      <c r="E67" s="21">
        <v>46220</v>
      </c>
      <c r="F67" s="6">
        <v>6.5</v>
      </c>
      <c r="G67" s="6" t="str">
        <f>IF(F67="","Pending",IF(F67&lt;7,"Weekback","No Weekback"))</f>
        <v>Weekback</v>
      </c>
    </row>
    <row r="68" spans="1:7">
      <c r="A68" s="6" t="str">
        <f>_xlfn.XLOOKUP(B68,'All '!B:B,'All '!A:A,"No Found")</f>
        <v>TDAF002</v>
      </c>
      <c r="B68" s="6" t="s">
        <v>71</v>
      </c>
      <c r="C68" s="6" t="str">
        <f>_xlfn.XLOOKUP($B68,'All '!B:B,'All '!C:C,"No Found")</f>
        <v>Python Flutter</v>
      </c>
      <c r="D68" s="6">
        <v>2</v>
      </c>
      <c r="E68" s="21">
        <v>46220</v>
      </c>
      <c r="F68" s="6">
        <v>7.75</v>
      </c>
      <c r="G68" s="6" t="str">
        <f>IF(F68="","Pending",IF(F68&lt;7,"Weekback","No Weekback"))</f>
        <v>No Weekback</v>
      </c>
    </row>
    <row r="69" spans="1:7">
      <c r="A69" s="6" t="str">
        <f>_xlfn.XLOOKUP(B69,'All '!B:B,'All '!A:A,"No Found")</f>
        <v>TDAN001</v>
      </c>
      <c r="B69" s="6" t="s">
        <v>88</v>
      </c>
      <c r="C69" s="6" t="str">
        <f>_xlfn.XLOOKUP($B69,'All '!B:B,'All '!C:C,"No Found")</f>
        <v>Python Next js</v>
      </c>
      <c r="D69" s="6">
        <v>2</v>
      </c>
      <c r="E69" s="21">
        <v>46220</v>
      </c>
      <c r="F69" s="6">
        <v>6.5</v>
      </c>
      <c r="G69" s="6" t="str">
        <f>IF(F69="","Pending",IF(F69&lt;7,"Weekback","No Weekback"))</f>
        <v>Weekback</v>
      </c>
    </row>
    <row r="70" spans="1:7">
      <c r="A70" s="6" t="str">
        <f>_xlfn.XLOOKUP(B70,'All '!B:B,'All '!A:A,"No Found")</f>
        <v>TDAR026</v>
      </c>
      <c r="B70" s="6" t="s">
        <v>196</v>
      </c>
      <c r="C70" s="6" t="str">
        <f>_xlfn.XLOOKUP($B70,'All '!B:B,'All '!C:C,"No Found")</f>
        <v>PythonDjango-React</v>
      </c>
      <c r="D70" s="6">
        <v>1</v>
      </c>
      <c r="E70" s="21">
        <v>46212</v>
      </c>
      <c r="G70" s="6" t="str">
        <f>IF(F70="","Pending",IF(F70&lt;7,"Weekback","No Weekback"))</f>
        <v>Pending</v>
      </c>
    </row>
    <row r="71" spans="1:7">
      <c r="A71" s="6" t="str">
        <f>_xlfn.XLOOKUP(B71,'All '!B:B,'All '!A:A,"No Found")</f>
        <v>TDAR019</v>
      </c>
      <c r="B71" s="6" t="s">
        <v>230</v>
      </c>
      <c r="C71" s="6" t="str">
        <f>_xlfn.XLOOKUP($B71,'All '!B:B,'All '!C:C,"No Found")</f>
        <v>PythonDjango-React</v>
      </c>
      <c r="D71" s="6">
        <v>2</v>
      </c>
      <c r="E71" s="21">
        <v>46218</v>
      </c>
      <c r="F71" s="6">
        <v>8</v>
      </c>
      <c r="G71" s="6" t="str">
        <f>IF(F71="","Pending",IF(F71&lt;7,"Weekback","No Weekback"))</f>
        <v>No Weekback</v>
      </c>
    </row>
    <row r="72" spans="1:7">
      <c r="A72" s="6" t="str">
        <f>_xlfn.XLOOKUP(B72,'All '!B:B,'All '!A:A,"No Found")</f>
        <v>TDAR020</v>
      </c>
      <c r="B72" s="6" t="s">
        <v>231</v>
      </c>
      <c r="C72" s="6" t="str">
        <f>_xlfn.XLOOKUP($B72,'All '!B:B,'All '!C:C,"No Found")</f>
        <v>PythonDjango-React</v>
      </c>
      <c r="D72" s="6">
        <v>2</v>
      </c>
      <c r="E72" s="21">
        <v>46218</v>
      </c>
      <c r="F72" s="6" t="s">
        <v>229</v>
      </c>
      <c r="G72" s="6" t="str">
        <f>IF(F72="","Pending",IF(F72&lt;7,"Weekback","No Weekback"))</f>
        <v>No Weekback</v>
      </c>
    </row>
    <row r="73" spans="1:7">
      <c r="A73" s="6" t="str">
        <f>_xlfn.XLOOKUP(B73,'All '!B:B,'All '!A:A,"No Found")</f>
        <v>TDAU003</v>
      </c>
      <c r="B73" s="6" t="s">
        <v>211</v>
      </c>
      <c r="C73" s="6" t="str">
        <f>_xlfn.XLOOKUP($B73,'All '!B:B,'All '!C:C,"No Found")</f>
        <v>UX-React</v>
      </c>
      <c r="D73" s="6">
        <v>2</v>
      </c>
      <c r="E73" s="21">
        <v>46213</v>
      </c>
      <c r="F73" s="6">
        <v>7</v>
      </c>
      <c r="G73" s="6" t="str">
        <f>IF(F73="","Pending",IF(F73&lt;7,"Weekback","No Weekback"))</f>
        <v>No Weekback</v>
      </c>
    </row>
    <row r="74" spans="1:7">
      <c r="A74" s="6" t="str">
        <f>_xlfn.XLOOKUP(B74,'All '!B:B,'All '!A:A,"No Found")</f>
        <v>TDAR015</v>
      </c>
      <c r="B74" s="6" t="s">
        <v>160</v>
      </c>
      <c r="C74" s="6" t="str">
        <f>_xlfn.XLOOKUP($B74,'All '!B:B,'All '!C:C,"No Found")</f>
        <v>PythonDjango-React</v>
      </c>
      <c r="D74" s="6">
        <v>2</v>
      </c>
      <c r="E74" s="21">
        <v>46216</v>
      </c>
      <c r="G74" s="6" t="str">
        <f>IF(F74="","Pending",IF(F74&lt;7,"Weekback","No Weekback"))</f>
        <v>Pending</v>
      </c>
    </row>
    <row r="75" spans="1:7">
      <c r="A75" s="6" t="str">
        <f>_xlfn.XLOOKUP(B75,'All '!B:B,'All '!A:A,"No Found")</f>
        <v>TDAR001</v>
      </c>
      <c r="B75" s="6" t="s">
        <v>110</v>
      </c>
      <c r="C75" s="6" t="str">
        <f>_xlfn.XLOOKUP($B75,'All '!B:B,'All '!C:C,"No Found")</f>
        <v>PythonDjango-React</v>
      </c>
      <c r="D75" s="6">
        <v>2</v>
      </c>
      <c r="E75" s="21">
        <v>46221</v>
      </c>
      <c r="G75" s="6" t="str">
        <f>IF(F75="","Pending",IF(F75&lt;7,"Weekback","No Weekback"))</f>
        <v>Pending</v>
      </c>
    </row>
    <row r="76" spans="1:7">
      <c r="A76" s="6" t="str">
        <f>_xlfn.XLOOKUP(B76,'All '!B:B,'All '!A:A,"No Found")</f>
        <v>TDAR007</v>
      </c>
      <c r="B76" s="6" t="s">
        <v>133</v>
      </c>
      <c r="C76" s="6" t="str">
        <f>_xlfn.XLOOKUP($B76,'All '!B:B,'All '!C:C,"No Found")</f>
        <v>PythonDjango-React</v>
      </c>
      <c r="D76" s="6">
        <v>2</v>
      </c>
      <c r="E76" s="21">
        <v>46224</v>
      </c>
      <c r="G76" s="6" t="str">
        <f>IF(F76="","Pending",IF(F76&lt;7,"Weekback","No Weekback"))</f>
        <v>Pending</v>
      </c>
    </row>
    <row r="77" spans="1:7">
      <c r="A77" s="6" t="str">
        <f>_xlfn.XLOOKUP(B77,'All '!B:B,'All '!A:A,"No Found")</f>
        <v>TDAR008</v>
      </c>
      <c r="B77" s="6" t="s">
        <v>137</v>
      </c>
      <c r="C77" s="6" t="str">
        <f>_xlfn.XLOOKUP($B77,'All '!B:B,'All '!C:C,"No Found")</f>
        <v>PythonDjango-React</v>
      </c>
      <c r="D77" s="6">
        <v>2</v>
      </c>
      <c r="E77" s="21">
        <v>46216</v>
      </c>
      <c r="G77" s="6" t="str">
        <f>IF(F77="","Pending",IF(F77&lt;7,"Weekback","No Weekback"))</f>
        <v>Pending</v>
      </c>
    </row>
    <row r="78" spans="1:7">
      <c r="A78" s="6" t="str">
        <f>_xlfn.XLOOKUP(B78,'All '!B:B,'All '!A:A,"No Found")</f>
        <v>TDAM004</v>
      </c>
      <c r="B78" s="48" t="s">
        <v>31</v>
      </c>
      <c r="C78" s="6" t="str">
        <f>_xlfn.XLOOKUP($B78,'All '!B:B,'All '!C:C,"No Found")</f>
        <v>MERN</v>
      </c>
      <c r="D78" s="6">
        <v>3</v>
      </c>
      <c r="E78" s="21">
        <v>46216</v>
      </c>
      <c r="F78" s="6">
        <v>7.5</v>
      </c>
      <c r="G78" s="6" t="str">
        <f>IF(F78="","Pending",IF(F78&lt;7,"Weekback","No Weekback"))</f>
        <v>No Weekback</v>
      </c>
    </row>
    <row r="79" spans="1:7">
      <c r="A79" s="6" t="str">
        <f>_xlfn.XLOOKUP(B79,'All '!B:B,'All '!A:A,"No Found")</f>
        <v>TDAA001</v>
      </c>
      <c r="B79" s="6" t="s">
        <v>96</v>
      </c>
      <c r="C79" s="6" t="str">
        <f>_xlfn.XLOOKUP($B79,'All '!B:B,'All '!C:C,"No Found")</f>
        <v>PythonDjango-Angular</v>
      </c>
      <c r="D79" s="6">
        <v>3</v>
      </c>
      <c r="E79" s="21">
        <v>46218</v>
      </c>
      <c r="F79" s="6">
        <v>7</v>
      </c>
      <c r="G79" s="6" t="str">
        <f>IF(F79="","Pending",IF(F79&lt;7,"Weekback","No Weekback"))</f>
        <v>No Weekback</v>
      </c>
    </row>
    <row r="80" spans="1:7">
      <c r="A80" s="6" t="str">
        <f>_xlfn.XLOOKUP(B80,'All '!B:B,'All '!A:A,"No Found")</f>
        <v>TDAA003</v>
      </c>
      <c r="B80" s="6" t="s">
        <v>106</v>
      </c>
      <c r="C80" s="6" t="str">
        <f>_xlfn.XLOOKUP($B80,'All '!B:B,'All '!C:C,"No Found")</f>
        <v>PythonDjango-Angular</v>
      </c>
      <c r="D80" s="6">
        <v>2</v>
      </c>
      <c r="E80" s="21">
        <v>46220</v>
      </c>
      <c r="F80" s="6">
        <v>6</v>
      </c>
      <c r="G80" s="6" t="str">
        <f>IF(F80="","Pending",IF(F80&lt;7,"Weekback","No Weekback"))</f>
        <v>Weekback</v>
      </c>
    </row>
    <row r="81" spans="1:7">
      <c r="A81" s="6" t="str">
        <f>_xlfn.XLOOKUP(B81,'All '!B:B,'All '!A:A,"No Found")</f>
        <v>TDAR016</v>
      </c>
      <c r="B81" s="6" t="s">
        <v>163</v>
      </c>
      <c r="C81" s="6" t="str">
        <f>_xlfn.XLOOKUP($B81,'All '!B:B,'All '!C:C,"No Found")</f>
        <v>PythonDjango-React</v>
      </c>
      <c r="D81" s="6">
        <v>3</v>
      </c>
      <c r="E81" s="21">
        <v>46219</v>
      </c>
      <c r="F81" s="6" t="s">
        <v>229</v>
      </c>
      <c r="G81" s="6" t="str">
        <f>IF(F81="","Pending",IF(F81&lt;7,"Weekback","No Weekback"))</f>
        <v>No Weekback</v>
      </c>
    </row>
    <row r="82" spans="1:7">
      <c r="A82" s="6" t="str">
        <f>_xlfn.XLOOKUP(B82,'All '!B:B,'All '!A:A,"No Found")</f>
        <v>TDAR010</v>
      </c>
      <c r="B82" s="6" t="s">
        <v>144</v>
      </c>
      <c r="C82" s="6" t="str">
        <f>_xlfn.XLOOKUP($B82,'All '!B:B,'All '!C:C,"No Found")</f>
        <v>PythonDjango-React</v>
      </c>
      <c r="D82" s="6">
        <v>3</v>
      </c>
      <c r="E82" s="21">
        <v>46219</v>
      </c>
      <c r="F82" s="6">
        <v>4</v>
      </c>
      <c r="G82" s="6" t="str">
        <f>IF(F82="","Pending",IF(F82&lt;7,"Weekback","No Weekback"))</f>
        <v>Weekback</v>
      </c>
    </row>
    <row r="83" spans="1:7">
      <c r="A83" s="6" t="str">
        <f>_xlfn.XLOOKUP(B83,'All '!B:B,'All '!A:A,"No Found")</f>
        <v>TDAR012</v>
      </c>
      <c r="B83" s="6" t="s">
        <v>150</v>
      </c>
      <c r="C83" s="6" t="str">
        <f>_xlfn.XLOOKUP($B83,'All '!B:B,'All '!C:C,"No Found")</f>
        <v>PythonDjango-React</v>
      </c>
      <c r="D83" s="6">
        <v>3</v>
      </c>
      <c r="E83" s="21">
        <v>46224</v>
      </c>
      <c r="F83" s="6">
        <v>4</v>
      </c>
      <c r="G83" s="6" t="str">
        <f>IF(F83="","Pending",IF(F83&lt;7,"Weekback","No Weekback"))</f>
        <v>Weekback</v>
      </c>
    </row>
    <row r="84" spans="1:7">
      <c r="A84" s="6" t="str">
        <f>_xlfn.XLOOKUP(B84,'All '!B:B,'All '!A:A,"No Found")</f>
        <v>TDAR003</v>
      </c>
      <c r="B84" s="6" t="s">
        <v>119</v>
      </c>
      <c r="C84" s="6" t="str">
        <f>_xlfn.XLOOKUP($B84,'All '!B:B,'All '!C:C,"No Found")</f>
        <v>PythonDjango-React</v>
      </c>
      <c r="D84" s="6">
        <v>3</v>
      </c>
      <c r="E84" s="21">
        <v>46211</v>
      </c>
      <c r="F84" s="6">
        <v>7</v>
      </c>
      <c r="G84" s="6" t="str">
        <f>IF(F84="","Pending",IF(F84&lt;7,"Weekback","No Weekback"))</f>
        <v>No Weekback</v>
      </c>
    </row>
    <row r="85" spans="1:7">
      <c r="A85" s="6" t="str">
        <f>_xlfn.XLOOKUP(B85,'All '!B:B,'All '!A:A,"No Found")</f>
        <v>TDAR014</v>
      </c>
      <c r="B85" s="6" t="s">
        <v>157</v>
      </c>
      <c r="C85" s="6" t="str">
        <f>_xlfn.XLOOKUP($B85,'All '!B:B,'All '!C:C,"No Found")</f>
        <v>PythonDjango-React</v>
      </c>
      <c r="D85" s="6">
        <v>3</v>
      </c>
      <c r="E85" s="21">
        <v>46211</v>
      </c>
      <c r="F85" s="6">
        <v>6</v>
      </c>
      <c r="G85" s="6" t="str">
        <f>IF(F85="","Pending",IF(F85&lt;7,"Weekback","No Weekback"))</f>
        <v>Weekback</v>
      </c>
    </row>
    <row r="86" spans="1:7">
      <c r="A86" s="6" t="str">
        <f>_xlfn.XLOOKUP(B86,'All '!B:B,'All '!A:A,"No Found")</f>
        <v>TDAR021</v>
      </c>
      <c r="B86" s="6" t="s">
        <v>177</v>
      </c>
      <c r="C86" s="6" t="str">
        <f>_xlfn.XLOOKUP($B86,'All '!B:B,'All '!C:C,"No Found")</f>
        <v>PythonDjango-React</v>
      </c>
      <c r="D86" s="6">
        <v>3</v>
      </c>
      <c r="E86" s="21">
        <v>46218</v>
      </c>
      <c r="F86" s="6">
        <v>6</v>
      </c>
      <c r="G86" s="6" t="str">
        <f>IF(F86="","Pending",IF(F86&lt;7,"Weekback","No Weekback"))</f>
        <v>Weekback</v>
      </c>
    </row>
    <row r="87" spans="1:7">
      <c r="A87" s="6" t="str">
        <f>_xlfn.XLOOKUP(B87,'All '!B:B,'All '!A:A,"No Found")</f>
        <v>TDAU002</v>
      </c>
      <c r="B87" s="6" t="s">
        <v>208</v>
      </c>
      <c r="C87" s="6" t="str">
        <f>_xlfn.XLOOKUP($B87,'All '!B:B,'All '!C:C,"No Found")</f>
        <v>UX-React</v>
      </c>
      <c r="D87" s="6">
        <v>3</v>
      </c>
      <c r="E87" s="21">
        <v>46213</v>
      </c>
      <c r="F87" s="6">
        <v>7</v>
      </c>
      <c r="G87" s="6" t="str">
        <f>IF(F87="","Pending",IF(F87&lt;7,"Weekback","No Weekback"))</f>
        <v>No Weekback</v>
      </c>
    </row>
    <row r="88" spans="1:7">
      <c r="A88" s="6" t="str">
        <f>_xlfn.XLOOKUP(B88,'All '!B:B,'All '!A:A,"No Found")</f>
        <v>TDAU004</v>
      </c>
      <c r="B88" s="6" t="s">
        <v>214</v>
      </c>
      <c r="C88" s="6" t="str">
        <f>_xlfn.XLOOKUP($B88,'All '!B:B,'All '!C:C,"No Found")</f>
        <v>UX-React</v>
      </c>
      <c r="D88" s="6">
        <v>3</v>
      </c>
      <c r="E88" s="21">
        <v>46213</v>
      </c>
      <c r="F88" s="6">
        <v>8.5</v>
      </c>
      <c r="G88" s="6" t="str">
        <f>IF(F88="","Pending",IF(F88&lt;7,"Weekback","No Weekback"))</f>
        <v>No Weekback</v>
      </c>
    </row>
    <row r="89" spans="1:7">
      <c r="A89" s="6" t="str">
        <f>IF(B89="","",_xlfn.XLOOKUP(B89,'All '!B:B,'All '!A:A,"No Found"))</f>
        <v/>
      </c>
      <c r="C89" s="6" t="str">
        <f>IF(B89="","",_xlfn.XLOOKUP($B89,'All '!B:B,'All '!C:C,"No Found"))</f>
        <v/>
      </c>
      <c r="D89" s="6" t="str">
        <f>IF(B89="","",COUNTIF($B$2:B89,B89))</f>
        <v/>
      </c>
      <c r="E89" s="21"/>
      <c r="G89" s="6" t="str">
        <f>IF(F89="","Pending",IF(F89&lt;7,"Weekback","No Weekback"))</f>
        <v>Pending</v>
      </c>
    </row>
    <row r="90" spans="1:7">
      <c r="A90" s="6" t="str">
        <f>IF(B90="","",_xlfn.XLOOKUP(B90,'All '!B:B,'All '!A:A,"No Found"))</f>
        <v/>
      </c>
      <c r="C90" s="6" t="str">
        <f>IF(B90="","",_xlfn.XLOOKUP($B90,'All '!B:B,'All '!C:C,"No Found"))</f>
        <v/>
      </c>
      <c r="D90" s="6" t="str">
        <f>IF(B90="","",COUNTIF($B$2:B90,B90))</f>
        <v/>
      </c>
      <c r="G90" s="6" t="str">
        <f>IF(F90="","Pending",IF(F90&lt;7,"Weekback","No Weekback"))</f>
        <v>Pending</v>
      </c>
    </row>
    <row r="91" spans="1:7">
      <c r="A91" s="6" t="str">
        <f>IF(B91="","",_xlfn.XLOOKUP(B91,'All '!B:B,'All '!A:A,"No Found"))</f>
        <v/>
      </c>
      <c r="C91" s="6" t="str">
        <f>IF(B91="","",_xlfn.XLOOKUP($B91,'All '!B:B,'All '!C:C,"No Found"))</f>
        <v/>
      </c>
      <c r="D91" s="6" t="str">
        <f>IF(B91="","",COUNTIF($B$2:B91,B91))</f>
        <v/>
      </c>
      <c r="G91" s="6" t="str">
        <f>IF(F91="","Pending",IF(F91&lt;7,"Weekback","No Weekback"))</f>
        <v>Pending</v>
      </c>
    </row>
    <row r="92" spans="1:7">
      <c r="A92" s="6" t="str">
        <f>IF(B92="","",_xlfn.XLOOKUP(B92,'All '!B:B,'All '!A:A,"No Found"))</f>
        <v/>
      </c>
      <c r="C92" s="6" t="str">
        <f>IF(B92="","",_xlfn.XLOOKUP($B92,'All '!B:B,'All '!C:C,"No Found"))</f>
        <v/>
      </c>
      <c r="D92" s="6" t="str">
        <f>IF(B92="","",COUNTIF($B$2:B92,B92))</f>
        <v/>
      </c>
      <c r="G92" s="6" t="str">
        <f>IF(F92="","Pending",IF(F92&lt;7,"Weekback","No Weekback"))</f>
        <v>Pending</v>
      </c>
    </row>
    <row r="93" spans="1:7">
      <c r="A93" s="6" t="str">
        <f>IF(B93="","",_xlfn.XLOOKUP(B93,'All '!B:B,'All '!A:A,"No Found"))</f>
        <v/>
      </c>
      <c r="C93" s="6" t="str">
        <f>IF(B93="","",_xlfn.XLOOKUP($B93,'All '!B:B,'All '!C:C,"No Found"))</f>
        <v/>
      </c>
      <c r="D93" s="6" t="str">
        <f>IF(B93="","",COUNTIF($B$2:B93,B93))</f>
        <v/>
      </c>
      <c r="G93" s="6" t="str">
        <f>IF(F93="","Pending",IF(F93&lt;7,"Weekback","No Weekback"))</f>
        <v>Pending</v>
      </c>
    </row>
    <row r="94" spans="1:7">
      <c r="A94" s="6" t="str">
        <f>IF(B94="","",_xlfn.XLOOKUP(B94,'All '!B:B,'All '!A:A,"No Found"))</f>
        <v/>
      </c>
      <c r="C94" s="6" t="str">
        <f>IF(B94="","",_xlfn.XLOOKUP($B94,'All '!B:B,'All '!C:C,"No Found"))</f>
        <v/>
      </c>
      <c r="D94" s="6" t="str">
        <f>IF(B94="","",COUNTIF($B$2:B94,B94))</f>
        <v/>
      </c>
      <c r="G94" s="6" t="str">
        <f>IF(F94="","Pending",IF(F94&lt;7,"Weekback","No Weekback"))</f>
        <v>Pending</v>
      </c>
    </row>
    <row r="95" spans="1:7">
      <c r="A95" s="6" t="str">
        <f>IF(B95="","",_xlfn.XLOOKUP(B95,'All '!B:B,'All '!A:A,"No Found"))</f>
        <v/>
      </c>
      <c r="C95" s="6" t="str">
        <f>IF(B95="","",_xlfn.XLOOKUP($B95,'All '!B:B,'All '!C:C,"No Found"))</f>
        <v/>
      </c>
      <c r="D95" s="6" t="str">
        <f>IF(B95="","",COUNTIF($B$2:B95,B95))</f>
        <v/>
      </c>
      <c r="G95" s="6" t="str">
        <f>IF(F95="","Pending",IF(F95&lt;7,"Weekback","No Weekback"))</f>
        <v>Pending</v>
      </c>
    </row>
    <row r="96" spans="1:7">
      <c r="A96" s="6" t="str">
        <f>IF(B96="","",_xlfn.XLOOKUP(B96,'All '!B:B,'All '!A:A,"No Found"))</f>
        <v/>
      </c>
      <c r="C96" s="6" t="str">
        <f>IF(B96="","",_xlfn.XLOOKUP($B96,'All '!B:B,'All '!C:C,"No Found"))</f>
        <v/>
      </c>
      <c r="D96" s="6" t="str">
        <f>IF(B96="","",COUNTIF($B$2:B96,B96))</f>
        <v/>
      </c>
      <c r="G96" s="6" t="str">
        <f>IF(F96="","Pending",IF(F96&lt;7,"Weekback","No Weekback"))</f>
        <v>Pending</v>
      </c>
    </row>
    <row r="97" spans="1:7">
      <c r="A97" s="6" t="str">
        <f>IF(B97="","",_xlfn.XLOOKUP(B97,'All '!B:B,'All '!A:A,"No Found"))</f>
        <v/>
      </c>
      <c r="C97" s="6" t="str">
        <f>IF(B97="","",_xlfn.XLOOKUP($B97,'All '!B:B,'All '!C:C,"No Found"))</f>
        <v/>
      </c>
      <c r="D97" s="6" t="str">
        <f>IF(B97="","",COUNTIF($B$2:B97,B97))</f>
        <v/>
      </c>
      <c r="G97" s="6" t="str">
        <f>IF(F97="","Pending",IF(F97&lt;7,"Weekback","No Weekback"))</f>
        <v>Pending</v>
      </c>
    </row>
    <row r="98" spans="1:7">
      <c r="A98" s="6" t="str">
        <f>IF(B98="","",_xlfn.XLOOKUP(B98,'All '!B:B,'All '!A:A,"No Found"))</f>
        <v/>
      </c>
      <c r="C98" s="6" t="str">
        <f>IF(B98="","",_xlfn.XLOOKUP($B98,'All '!B:B,'All '!C:C,"No Found"))</f>
        <v/>
      </c>
      <c r="D98" s="6" t="str">
        <f>IF(B98="","",COUNTIF($B$2:B98,B98))</f>
        <v/>
      </c>
      <c r="G98" s="6" t="str">
        <f>IF(F98="","Pending",IF(F98&lt;7,"Weekback","No Weekback"))</f>
        <v>Pending</v>
      </c>
    </row>
    <row r="99" spans="1:7">
      <c r="A99" s="6" t="str">
        <f>IF(B99="","",_xlfn.XLOOKUP(B99,'All '!B:B,'All '!A:A,"No Found"))</f>
        <v/>
      </c>
      <c r="C99" s="6" t="str">
        <f>IF(B99="","",_xlfn.XLOOKUP($B99,'All '!B:B,'All '!C:C,"No Found"))</f>
        <v/>
      </c>
      <c r="D99" s="6" t="str">
        <f>IF(B99="","",COUNTIF($B$2:B99,B99))</f>
        <v/>
      </c>
      <c r="G99" s="6" t="str">
        <f>IF(F99="","Pending",IF(F99&lt;7,"Weekback","No Weekback"))</f>
        <v>Pending</v>
      </c>
    </row>
    <row r="100" spans="1:7">
      <c r="A100" s="6" t="str">
        <f>IF(B100="","",_xlfn.XLOOKUP(B100,'All '!B:B,'All '!A:A,"No Found"))</f>
        <v/>
      </c>
      <c r="C100" s="6" t="str">
        <f>IF(B100="","",_xlfn.XLOOKUP($B100,'All '!B:B,'All '!C:C,"No Found"))</f>
        <v/>
      </c>
      <c r="D100" s="6" t="str">
        <f>IF(B100="","",COUNTIF($B$2:B100,B100))</f>
        <v/>
      </c>
      <c r="G100" s="6" t="str">
        <f>IF(F100="","Pending",IF(F100&lt;7,"Weekback","No Weekback"))</f>
        <v>Pending</v>
      </c>
    </row>
    <row r="101" spans="1:7">
      <c r="A101" s="6" t="str">
        <f>IF(B101="","",_xlfn.XLOOKUP(B101,'All '!B:B,'All '!A:A,"No Found"))</f>
        <v/>
      </c>
      <c r="C101" s="6" t="str">
        <f>IF(B101="","",_xlfn.XLOOKUP($B101,'All '!B:B,'All '!C:C,"No Found"))</f>
        <v/>
      </c>
      <c r="D101" s="6" t="str">
        <f>IF(B101="","",COUNTIF($B$2:B101,B101))</f>
        <v/>
      </c>
      <c r="G101" s="6" t="str">
        <f>IF(F101="","Pending",IF(F101&lt;7,"Weekback","No Weekback"))</f>
        <v>Pending</v>
      </c>
    </row>
    <row r="102" spans="1:7">
      <c r="A102" s="6" t="str">
        <f>IF(B102="","",_xlfn.XLOOKUP(B102,'All '!B:B,'All '!A:A,"No Found"))</f>
        <v/>
      </c>
      <c r="C102" s="6" t="str">
        <f>IF(B102="","",_xlfn.XLOOKUP($B102,'All '!B:B,'All '!C:C,"No Found"))</f>
        <v/>
      </c>
      <c r="D102" s="6" t="str">
        <f>IF(B102="","",COUNTIF($B$2:B102,B102))</f>
        <v/>
      </c>
      <c r="G102" s="6" t="str">
        <f>IF(F102="","Pending",IF(F102&lt;7,"Weekback","No Weekback"))</f>
        <v>Pending</v>
      </c>
    </row>
    <row r="103" spans="1:7">
      <c r="A103" s="6" t="str">
        <f>IF(B103="","",_xlfn.XLOOKUP(B103,'All '!B:B,'All '!A:A,"No Found"))</f>
        <v/>
      </c>
      <c r="C103" s="6" t="str">
        <f>IF(B103="","",_xlfn.XLOOKUP($B103,'All '!B:B,'All '!C:C,"No Found"))</f>
        <v/>
      </c>
      <c r="D103" s="6" t="str">
        <f>IF(B103="","",COUNTIF($B$2:B103,B103))</f>
        <v/>
      </c>
      <c r="G103" s="6" t="str">
        <f>IF(F103="","Pending",IF(F103&lt;7,"Weekback","No Weekback"))</f>
        <v>Pending</v>
      </c>
    </row>
    <row r="104" spans="1:7">
      <c r="A104" s="6" t="str">
        <f>IF(B104="","",_xlfn.XLOOKUP(B104,'All '!B:B,'All '!A:A,"No Found"))</f>
        <v/>
      </c>
      <c r="C104" s="6" t="str">
        <f>IF(B104="","",_xlfn.XLOOKUP($B104,'All '!B:B,'All '!C:C,"No Found"))</f>
        <v/>
      </c>
      <c r="D104" s="6" t="str">
        <f>IF(B104="","",COUNTIF($B$2:B104,B104))</f>
        <v/>
      </c>
      <c r="G104" s="6" t="str">
        <f>IF(F104="","Pending",IF(F104&lt;7,"Weekback","No Weekback"))</f>
        <v>Pending</v>
      </c>
    </row>
    <row r="105" spans="1:7">
      <c r="A105" s="6" t="str">
        <f>IF(B105="","",_xlfn.XLOOKUP(B105,'All '!B:B,'All '!A:A,"No Found"))</f>
        <v/>
      </c>
      <c r="C105" s="6" t="str">
        <f>IF(B105="","",_xlfn.XLOOKUP($B105,'All '!B:B,'All '!C:C,"No Found"))</f>
        <v/>
      </c>
      <c r="D105" s="6" t="str">
        <f>IF(B105="","",COUNTIF($B$2:B105,B105))</f>
        <v/>
      </c>
      <c r="G105" s="6" t="str">
        <f>IF(F105="","Pending",IF(F105&lt;7,"Weekback","No Weekback"))</f>
        <v>Pending</v>
      </c>
    </row>
    <row r="106" spans="1:7">
      <c r="A106" s="6" t="str">
        <f>IF(B106="","",_xlfn.XLOOKUP(B106,'All '!B:B,'All '!A:A,"No Found"))</f>
        <v/>
      </c>
      <c r="C106" s="6" t="str">
        <f>IF(B106="","",_xlfn.XLOOKUP($B106,'All '!B:B,'All '!C:C,"No Found"))</f>
        <v/>
      </c>
      <c r="D106" s="6" t="str">
        <f>IF(B106="","",COUNTIF($B$2:B106,B106))</f>
        <v/>
      </c>
      <c r="G106" s="6" t="str">
        <f>IF(F106="","Pending",IF(F106&lt;7,"Weekback","No Weekback"))</f>
        <v>Pending</v>
      </c>
    </row>
    <row r="107" spans="1:7">
      <c r="A107" s="6" t="str">
        <f>IF(B107="","",_xlfn.XLOOKUP(B107,'All '!B:B,'All '!A:A,"No Found"))</f>
        <v/>
      </c>
      <c r="C107" s="6" t="str">
        <f>IF(B107="","",_xlfn.XLOOKUP($B107,'All '!B:B,'All '!C:C,"No Found"))</f>
        <v/>
      </c>
      <c r="D107" s="6" t="str">
        <f>IF(B107="","",COUNTIF($B$2:B107,B107))</f>
        <v/>
      </c>
      <c r="G107" s="6" t="str">
        <f>IF(F107="","Pending",IF(F107&lt;7,"Weekback","No Weekback"))</f>
        <v>Pending</v>
      </c>
    </row>
    <row r="108" spans="1:7">
      <c r="A108" s="6" t="str">
        <f>IF(B108="","",_xlfn.XLOOKUP(B108,'All '!B:B,'All '!A:A,"No Found"))</f>
        <v/>
      </c>
      <c r="C108" s="6" t="str">
        <f>IF(B108="","",_xlfn.XLOOKUP($B108,'All '!B:B,'All '!C:C,"No Found"))</f>
        <v/>
      </c>
      <c r="D108" s="6" t="str">
        <f>IF(B108="","",COUNTIF($B$2:B108,B108))</f>
        <v/>
      </c>
      <c r="G108" s="6" t="str">
        <f>IF(F108="","Pending",IF(F108&lt;7,"Weekback","No Weekback"))</f>
        <v>Pending</v>
      </c>
    </row>
    <row r="109" spans="1:7">
      <c r="A109" s="6" t="str">
        <f>IF(B109="","",_xlfn.XLOOKUP(B109,'All '!B:B,'All '!A:A,"No Found"))</f>
        <v/>
      </c>
      <c r="C109" s="6" t="str">
        <f>IF(B109="","",_xlfn.XLOOKUP($B109,'All '!B:B,'All '!C:C,"No Found"))</f>
        <v/>
      </c>
      <c r="D109" s="6" t="str">
        <f>IF(B109="","",COUNTIF($B$2:B109,B109))</f>
        <v/>
      </c>
      <c r="G109" s="6" t="str">
        <f>IF(F109="","Pending",IF(F109&lt;7,"Weekback","No Weekback"))</f>
        <v>Pending</v>
      </c>
    </row>
    <row r="110" spans="1:7">
      <c r="A110" s="6" t="str">
        <f>IF(B110="","",_xlfn.XLOOKUP(B110,'All '!B:B,'All '!A:A,"No Found"))</f>
        <v/>
      </c>
      <c r="C110" s="6" t="str">
        <f>IF(B110="","",_xlfn.XLOOKUP($B110,'All '!B:B,'All '!C:C,"No Found"))</f>
        <v/>
      </c>
      <c r="D110" s="6" t="str">
        <f>IF(B110="","",COUNTIF($B$2:B110,B110))</f>
        <v/>
      </c>
      <c r="G110" s="6" t="str">
        <f>IF(F110="","Pending",IF(F110&lt;7,"Weekback","No Weekback"))</f>
        <v>Pending</v>
      </c>
    </row>
    <row r="111" spans="1:7">
      <c r="A111" s="6" t="str">
        <f>IF(B111="","",_xlfn.XLOOKUP(B111,'All '!B:B,'All '!A:A,"No Found"))</f>
        <v/>
      </c>
      <c r="C111" s="6" t="str">
        <f>IF(B111="","",_xlfn.XLOOKUP($B111,'All '!B:B,'All '!C:C,"No Found"))</f>
        <v/>
      </c>
      <c r="D111" s="6" t="str">
        <f>IF(B111="","",COUNTIF($B$2:B111,B111))</f>
        <v/>
      </c>
      <c r="G111" s="6" t="str">
        <f>IF(F111="","Pending",IF(F111&lt;7,"Weekback","No Weekback"))</f>
        <v>Pending</v>
      </c>
    </row>
    <row r="112" spans="1:7">
      <c r="A112" s="6" t="str">
        <f>IF(B112="","",_xlfn.XLOOKUP(B112,'All '!B:B,'All '!A:A,"No Found"))</f>
        <v/>
      </c>
      <c r="C112" s="6" t="str">
        <f>IF(B112="","",_xlfn.XLOOKUP($B112,'All '!B:B,'All '!C:C,"No Found"))</f>
        <v/>
      </c>
      <c r="D112" s="6" t="str">
        <f>IF(B112="","",COUNTIF($B$2:B112,B112))</f>
        <v/>
      </c>
      <c r="G112" s="6" t="str">
        <f>IF(F112="","Pending",IF(F112&lt;7,"Weekback","No Weekback"))</f>
        <v>Pending</v>
      </c>
    </row>
    <row r="113" spans="1:7">
      <c r="A113" s="6" t="str">
        <f>IF(B113="","",_xlfn.XLOOKUP(B113,'All '!B:B,'All '!A:A,"No Found"))</f>
        <v/>
      </c>
      <c r="C113" s="6" t="str">
        <f>IF(B113="","",_xlfn.XLOOKUP($B113,'All '!B:B,'All '!C:C,"No Found"))</f>
        <v/>
      </c>
      <c r="D113" s="6" t="str">
        <f>IF(B113="","",COUNTIF($B$2:B113,B113))</f>
        <v/>
      </c>
      <c r="G113" s="6" t="str">
        <f>IF(F113="","Pending",IF(F113&lt;7,"Weekback","No Weekback"))</f>
        <v>Pending</v>
      </c>
    </row>
    <row r="114" spans="1:7">
      <c r="A114" s="6" t="str">
        <f>IF(B114="","",_xlfn.XLOOKUP(B114,'All '!B:B,'All '!A:A,"No Found"))</f>
        <v/>
      </c>
      <c r="C114" s="6" t="str">
        <f>IF(B114="","",_xlfn.XLOOKUP($B114,'All '!B:B,'All '!C:C,"No Found"))</f>
        <v/>
      </c>
      <c r="D114" s="6" t="str">
        <f>IF(B114="","",COUNTIF($B$2:B114,B114))</f>
        <v/>
      </c>
      <c r="G114" s="6" t="str">
        <f>IF(F114="","Pending",IF(F114&lt;7,"Weekback","No Weekback"))</f>
        <v>Pending</v>
      </c>
    </row>
    <row r="115" spans="1:7">
      <c r="A115" s="6" t="str">
        <f>IF(B115="","",_xlfn.XLOOKUP(B115,'All '!B:B,'All '!A:A,"No Found"))</f>
        <v/>
      </c>
      <c r="C115" s="6" t="str">
        <f>IF(B115="","",_xlfn.XLOOKUP($B115,'All '!B:B,'All '!C:C,"No Found"))</f>
        <v/>
      </c>
      <c r="D115" s="6" t="str">
        <f>IF(B115="","",COUNTIF($B$2:B115,B115))</f>
        <v/>
      </c>
      <c r="G115" s="6" t="str">
        <f>IF(F115="","Pending",IF(F115&lt;7,"Weekback","No Weekback"))</f>
        <v>Pending</v>
      </c>
    </row>
    <row r="116" spans="1:7">
      <c r="A116" s="6" t="str">
        <f>IF(B116="","",_xlfn.XLOOKUP(B116,'All '!B:B,'All '!A:A,"No Found"))</f>
        <v/>
      </c>
      <c r="C116" s="6" t="str">
        <f>IF(B116="","",_xlfn.XLOOKUP($B116,'All '!B:B,'All '!C:C,"No Found"))</f>
        <v/>
      </c>
      <c r="D116" s="6" t="str">
        <f>IF(B116="","",COUNTIF($B$2:B116,B116))</f>
        <v/>
      </c>
      <c r="G116" s="6" t="str">
        <f>IF(F116="","Pending",IF(F116&lt;7,"Weekback","No Weekback"))</f>
        <v>Pending</v>
      </c>
    </row>
    <row r="117" spans="1:7">
      <c r="A117" s="6" t="str">
        <f>IF(B117="","",_xlfn.XLOOKUP(B117,'All '!B:B,'All '!A:A,"No Found"))</f>
        <v/>
      </c>
      <c r="C117" s="6" t="str">
        <f>IF(B117="","",_xlfn.XLOOKUP($B117,'All '!B:B,'All '!C:C,"No Found"))</f>
        <v/>
      </c>
      <c r="D117" s="6" t="str">
        <f>IF(B117="","",COUNTIF($B$2:B117,B117))</f>
        <v/>
      </c>
      <c r="G117" s="6" t="str">
        <f>IF(F117="","Pending",IF(F117&lt;7,"Weekback","No Weekback"))</f>
        <v>Pending</v>
      </c>
    </row>
    <row r="118" spans="1:7">
      <c r="A118" s="6" t="str">
        <f>IF(B118="","",_xlfn.XLOOKUP(B118,'All '!B:B,'All '!A:A,"No Found"))</f>
        <v/>
      </c>
      <c r="C118" s="6" t="str">
        <f>IF(B118="","",_xlfn.XLOOKUP($B118,'All '!B:B,'All '!C:C,"No Found"))</f>
        <v/>
      </c>
      <c r="D118" s="6" t="str">
        <f>IF(B118="","",COUNTIF($B$2:B118,B118))</f>
        <v/>
      </c>
      <c r="G118" s="6" t="str">
        <f>IF(F118="","Pending",IF(F118&lt;7,"Weekback","No Weekback"))</f>
        <v>Pending</v>
      </c>
    </row>
    <row r="119" spans="1:7">
      <c r="A119" s="6" t="str">
        <f>IF(B119="","",_xlfn.XLOOKUP(B119,'All '!B:B,'All '!A:A,"No Found"))</f>
        <v/>
      </c>
      <c r="C119" s="6" t="str">
        <f>IF(B119="","",_xlfn.XLOOKUP($B119,'All '!B:B,'All '!C:C,"No Found"))</f>
        <v/>
      </c>
      <c r="D119" s="6" t="str">
        <f>IF(B119="","",COUNTIF($B$2:B119,B119))</f>
        <v/>
      </c>
      <c r="G119" s="6" t="str">
        <f>IF(F119="","Pending",IF(F119&lt;7,"Weekback","No Weekback"))</f>
        <v>Pending</v>
      </c>
    </row>
    <row r="120" spans="1:7">
      <c r="A120" s="6" t="str">
        <f>IF(B120="","",_xlfn.XLOOKUP(B120,'All '!B:B,'All '!A:A,"No Found"))</f>
        <v/>
      </c>
      <c r="C120" s="6" t="str">
        <f>IF(B120="","",_xlfn.XLOOKUP($B120,'All '!B:B,'All '!C:C,"No Found"))</f>
        <v/>
      </c>
      <c r="D120" s="6" t="str">
        <f>IF(B120="","",COUNTIF($B$2:B120,B120))</f>
        <v/>
      </c>
      <c r="G120" s="6" t="str">
        <f>IF(F120="","Pending",IF(F120&lt;7,"Weekback","No Weekback"))</f>
        <v>Pending</v>
      </c>
    </row>
    <row r="121" spans="1:7">
      <c r="A121" s="6" t="str">
        <f>IF(B121="","",_xlfn.XLOOKUP(B121,'All '!B:B,'All '!A:A,"No Found"))</f>
        <v/>
      </c>
      <c r="C121" s="6" t="str">
        <f>IF(B121="","",_xlfn.XLOOKUP($B121,'All '!B:B,'All '!C:C,"No Found"))</f>
        <v/>
      </c>
      <c r="D121" s="6" t="str">
        <f>IF(B121="","",COUNTIF($B$2:B121,B121))</f>
        <v/>
      </c>
      <c r="G121" s="6" t="str">
        <f>IF(F121="","Pending",IF(F121&lt;7,"Weekback","No Weekback"))</f>
        <v>Pending</v>
      </c>
    </row>
    <row r="122" spans="1:7">
      <c r="A122" s="6" t="str">
        <f>IF(B122="","",_xlfn.XLOOKUP(B122,'All '!B:B,'All '!A:A,"No Found"))</f>
        <v/>
      </c>
      <c r="C122" s="6" t="str">
        <f>IF(B122="","",_xlfn.XLOOKUP($B122,'All '!B:B,'All '!C:C,"No Found"))</f>
        <v/>
      </c>
      <c r="D122" s="6" t="str">
        <f>IF(B122="","",COUNTIF($B$2:B122,B122))</f>
        <v/>
      </c>
      <c r="G122" s="6" t="str">
        <f>IF(F122="","Pending",IF(F122&lt;7,"Weekback","No Weekback"))</f>
        <v>Pending</v>
      </c>
    </row>
    <row r="123" spans="1:7">
      <c r="A123" s="6" t="str">
        <f>IF(B123="","",_xlfn.XLOOKUP(B123,'All '!B:B,'All '!A:A,"No Found"))</f>
        <v/>
      </c>
      <c r="C123" s="6" t="str">
        <f>IF(B123="","",_xlfn.XLOOKUP($B123,'All '!B:B,'All '!C:C,"No Found"))</f>
        <v/>
      </c>
      <c r="D123" s="6" t="str">
        <f>IF(B123="","",COUNTIF($B$2:B123,B123))</f>
        <v/>
      </c>
      <c r="G123" s="6" t="str">
        <f>IF(F123="","Pending",IF(F123&lt;7,"Weekback","No Weekback"))</f>
        <v>Pending</v>
      </c>
    </row>
    <row r="124" spans="1:7">
      <c r="A124" s="6" t="str">
        <f>IF(B124="","",_xlfn.XLOOKUP(B124,'All '!B:B,'All '!A:A,"No Found"))</f>
        <v/>
      </c>
      <c r="C124" s="6" t="str">
        <f>IF(B124="","",_xlfn.XLOOKUP($B124,'All '!B:B,'All '!C:C,"No Found"))</f>
        <v/>
      </c>
      <c r="D124" s="6" t="str">
        <f>IF(B124="","",COUNTIF($B$2:B124,B124))</f>
        <v/>
      </c>
      <c r="G124" s="6" t="str">
        <f>IF(F124="","Pending",IF(F124&lt;7,"Weekback","No Weekback"))</f>
        <v>Pending</v>
      </c>
    </row>
    <row r="125" spans="1:7">
      <c r="A125" s="6" t="str">
        <f>IF(B125="","",_xlfn.XLOOKUP(B125,'All '!B:B,'All '!A:A,"No Found"))</f>
        <v/>
      </c>
      <c r="C125" s="6" t="str">
        <f>IF(B125="","",_xlfn.XLOOKUP($B125,'All '!B:B,'All '!C:C,"No Found"))</f>
        <v/>
      </c>
      <c r="D125" s="6" t="str">
        <f>IF(B125="","",COUNTIF($B$2:B125,B125))</f>
        <v/>
      </c>
      <c r="G125" s="6" t="str">
        <f>IF(F125="","Pending",IF(F125&lt;7,"Weekback","No Weekback"))</f>
        <v>Pending</v>
      </c>
    </row>
    <row r="126" spans="1:7">
      <c r="A126" s="6" t="str">
        <f>IF(B126="","",_xlfn.XLOOKUP(B126,'All '!B:B,'All '!A:A,"No Found"))</f>
        <v/>
      </c>
      <c r="C126" s="6" t="str">
        <f>IF(B126="","",_xlfn.XLOOKUP($B126,'All '!B:B,'All '!C:C,"No Found"))</f>
        <v/>
      </c>
      <c r="D126" s="6" t="str">
        <f>IF(B126="","",COUNTIF($B$2:B126,B126))</f>
        <v/>
      </c>
      <c r="G126" s="6" t="str">
        <f>IF(F126="","Pending",IF(F126&lt;7,"Weekback","No Weekback"))</f>
        <v>Pending</v>
      </c>
    </row>
    <row r="127" spans="1:7">
      <c r="A127" s="6" t="str">
        <f>IF(B127="","",_xlfn.XLOOKUP(B127,'All '!B:B,'All '!A:A,"No Found"))</f>
        <v/>
      </c>
      <c r="C127" s="6" t="str">
        <f>IF(B127="","",_xlfn.XLOOKUP($B127,'All '!B:B,'All '!C:C,"No Found"))</f>
        <v/>
      </c>
      <c r="D127" s="6" t="str">
        <f>IF(B127="","",COUNTIF($B$2:B127,B127))</f>
        <v/>
      </c>
      <c r="G127" s="6" t="str">
        <f>IF(F127="","Pending",IF(F127&lt;7,"Weekback","No Weekback"))</f>
        <v>Pending</v>
      </c>
    </row>
    <row r="128" spans="1:7">
      <c r="A128" s="6" t="str">
        <f>IF(B128="","",_xlfn.XLOOKUP(B128,'All '!B:B,'All '!A:A,"No Found"))</f>
        <v/>
      </c>
      <c r="C128" s="6" t="str">
        <f>IF(B128="","",_xlfn.XLOOKUP($B128,'All '!B:B,'All '!C:C,"No Found"))</f>
        <v/>
      </c>
      <c r="D128" s="6" t="str">
        <f>IF(B128="","",COUNTIF($B$2:B128,B128))</f>
        <v/>
      </c>
      <c r="G128" s="6" t="str">
        <f>IF(F128="","Pending",IF(F128&lt;7,"Weekback","No Weekback"))</f>
        <v>Pending</v>
      </c>
    </row>
    <row r="129" spans="1:7">
      <c r="A129" s="6" t="str">
        <f>IF(B129="","",_xlfn.XLOOKUP(B129,'All '!B:B,'All '!A:A,"No Found"))</f>
        <v/>
      </c>
      <c r="C129" s="6" t="str">
        <f>IF(B129="","",_xlfn.XLOOKUP($B129,'All '!B:B,'All '!C:C,"No Found"))</f>
        <v/>
      </c>
      <c r="D129" s="6" t="str">
        <f>IF(B129="","",COUNTIF($B$2:B129,B129))</f>
        <v/>
      </c>
      <c r="G129" s="6" t="str">
        <f>IF(F129="","Pending",IF(F129&lt;7,"Weekback","No Weekback"))</f>
        <v>Pending</v>
      </c>
    </row>
    <row r="130" spans="1:7">
      <c r="A130" s="6" t="str">
        <f>IF(B130="","",_xlfn.XLOOKUP(B130,'All '!B:B,'All '!A:A,"No Found"))</f>
        <v/>
      </c>
      <c r="C130" s="6" t="str">
        <f>IF(B130="","",_xlfn.XLOOKUP($B130,'All '!B:B,'All '!C:C,"No Found"))</f>
        <v/>
      </c>
      <c r="D130" s="6" t="str">
        <f>IF(B130="","",COUNTIF($B$2:B130,B130))</f>
        <v/>
      </c>
      <c r="G130" s="6" t="str">
        <f>IF(F130="","Pending",IF(F130&lt;7,"Weekback","No Weekback"))</f>
        <v>Pending</v>
      </c>
    </row>
    <row r="131" spans="1:7">
      <c r="A131" s="6" t="str">
        <f>IF(B131="","",_xlfn.XLOOKUP(B131,'All '!B:B,'All '!A:A,"No Found"))</f>
        <v/>
      </c>
      <c r="C131" s="6" t="str">
        <f>IF(B131="","",_xlfn.XLOOKUP($B131,'All '!B:B,'All '!C:C,"No Found"))</f>
        <v/>
      </c>
      <c r="D131" s="6" t="str">
        <f>IF(B131="","",COUNTIF($B$2:B131,B131))</f>
        <v/>
      </c>
      <c r="G131" s="6" t="str">
        <f>IF(F131="","Pending",IF(F131&lt;7,"Weekback","No Weekback"))</f>
        <v>Pending</v>
      </c>
    </row>
    <row r="132" spans="1:7">
      <c r="A132" s="6" t="str">
        <f>IF(B132="","",_xlfn.XLOOKUP(B132,'All '!B:B,'All '!A:A,"No Found"))</f>
        <v/>
      </c>
      <c r="C132" s="6" t="str">
        <f>IF(B132="","",_xlfn.XLOOKUP($B132,'All '!B:B,'All '!C:C,"No Found"))</f>
        <v/>
      </c>
      <c r="D132" s="6" t="str">
        <f>IF(B132="","",COUNTIF($B$2:B132,B132))</f>
        <v/>
      </c>
      <c r="G132" s="6" t="str">
        <f>IF(F132="","Pending",IF(F132&lt;7,"Weekback","No Weekback"))</f>
        <v>Pending</v>
      </c>
    </row>
    <row r="133" spans="1:7">
      <c r="A133" s="6" t="str">
        <f>IF(B133="","",_xlfn.XLOOKUP(B133,'All '!B:B,'All '!A:A,"No Found"))</f>
        <v/>
      </c>
      <c r="C133" s="6" t="str">
        <f>IF(B133="","",_xlfn.XLOOKUP($B133,'All '!B:B,'All '!C:C,"No Found"))</f>
        <v/>
      </c>
      <c r="D133" s="6" t="str">
        <f>IF(B133="","",COUNTIF($B$2:B133,B133))</f>
        <v/>
      </c>
      <c r="G133" s="6" t="str">
        <f>IF(F133="","Pending",IF(F133&lt;7,"Weekback","No Weekback"))</f>
        <v>Pending</v>
      </c>
    </row>
    <row r="134" spans="1:7">
      <c r="A134" s="6" t="str">
        <f>IF(B134="","",_xlfn.XLOOKUP(B134,'All '!B:B,'All '!A:A,"No Found"))</f>
        <v/>
      </c>
      <c r="C134" s="6" t="str">
        <f>IF(B134="","",_xlfn.XLOOKUP($B134,'All '!B:B,'All '!C:C,"No Found"))</f>
        <v/>
      </c>
      <c r="D134" s="6" t="str">
        <f>IF(B134="","",COUNTIF($B$2:B134,B134))</f>
        <v/>
      </c>
      <c r="G134" s="6" t="str">
        <f>IF(F134="","Pending",IF(F134&lt;7,"Weekback","No Weekback"))</f>
        <v>Pending</v>
      </c>
    </row>
    <row r="135" spans="1:7">
      <c r="A135" s="6" t="str">
        <f>IF(B135="","",_xlfn.XLOOKUP(B135,'All '!B:B,'All '!A:A,"No Found"))</f>
        <v/>
      </c>
      <c r="C135" s="6" t="str">
        <f>IF(B135="","",_xlfn.XLOOKUP($B135,'All '!B:B,'All '!C:C,"No Found"))</f>
        <v/>
      </c>
      <c r="D135" s="6" t="str">
        <f>IF(B135="","",COUNTIF($B$2:B135,B135))</f>
        <v/>
      </c>
      <c r="G135" s="6" t="str">
        <f>IF(F135="","Pending",IF(F135&lt;7,"Weekback","No Weekback"))</f>
        <v>Pending</v>
      </c>
    </row>
    <row r="136" spans="1:7">
      <c r="A136" s="6" t="str">
        <f>IF(B136="","",_xlfn.XLOOKUP(B136,'All '!B:B,'All '!A:A,"No Found"))</f>
        <v/>
      </c>
      <c r="C136" s="6" t="str">
        <f>IF(B136="","",_xlfn.XLOOKUP($B136,'All '!B:B,'All '!C:C,"No Found"))</f>
        <v/>
      </c>
      <c r="D136" s="6" t="str">
        <f>IF(B136="","",COUNTIF($B$2:B136,B136))</f>
        <v/>
      </c>
      <c r="G136" s="6" t="str">
        <f>IF(F136="","Pending",IF(F136&lt;7,"Weekback","No Weekback"))</f>
        <v>Pending</v>
      </c>
    </row>
    <row r="137" spans="1:7">
      <c r="A137" s="6" t="str">
        <f>IF(B137="","",_xlfn.XLOOKUP(B137,'All '!B:B,'All '!A:A,"No Found"))</f>
        <v/>
      </c>
      <c r="C137" s="6" t="str">
        <f>IF(B137="","",_xlfn.XLOOKUP($B137,'All '!B:B,'All '!C:C,"No Found"))</f>
        <v/>
      </c>
      <c r="D137" s="6" t="str">
        <f>IF(B137="","",COUNTIF($B$2:B137,B137))</f>
        <v/>
      </c>
      <c r="G137" s="6" t="str">
        <f>IF(F137="","Pending",IF(F137&lt;7,"Weekback","No Weekback"))</f>
        <v>Pending</v>
      </c>
    </row>
    <row r="138" spans="1:7">
      <c r="A138" s="6" t="str">
        <f>IF(B138="","",_xlfn.XLOOKUP(B138,'All '!B:B,'All '!A:A,"No Found"))</f>
        <v/>
      </c>
      <c r="C138" s="6" t="str">
        <f>IF(B138="","",_xlfn.XLOOKUP($B138,'All '!B:B,'All '!C:C,"No Found"))</f>
        <v/>
      </c>
      <c r="D138" s="6" t="str">
        <f>IF(B138="","",COUNTIF($B$2:B138,B138))</f>
        <v/>
      </c>
      <c r="G138" s="6" t="str">
        <f>IF(F138="","Pending",IF(F138&lt;7,"Weekback","No Weekback"))</f>
        <v>Pending</v>
      </c>
    </row>
    <row r="139" spans="1:7">
      <c r="A139" s="6" t="str">
        <f>IF(B139="","",_xlfn.XLOOKUP(B139,'All '!B:B,'All '!A:A,"No Found"))</f>
        <v/>
      </c>
      <c r="C139" s="6" t="str">
        <f>IF(B139="","",_xlfn.XLOOKUP($B139,'All '!B:B,'All '!C:C,"No Found"))</f>
        <v/>
      </c>
      <c r="D139" s="6" t="str">
        <f>IF(B139="","",COUNTIF($B$2:B139,B139))</f>
        <v/>
      </c>
      <c r="G139" s="6" t="str">
        <f>IF(F139="","Pending",IF(F139&lt;7,"Weekback","No Weekback"))</f>
        <v>Pending</v>
      </c>
    </row>
    <row r="140" spans="1:7">
      <c r="A140" s="6" t="str">
        <f>IF(B140="","",_xlfn.XLOOKUP(B140,'All '!B:B,'All '!A:A,"No Found"))</f>
        <v/>
      </c>
      <c r="C140" s="6" t="str">
        <f>IF(B140="","",_xlfn.XLOOKUP($B140,'All '!B:B,'All '!C:C,"No Found"))</f>
        <v/>
      </c>
      <c r="D140" s="6" t="str">
        <f>IF(B140="","",COUNTIF($B$2:B140,B140))</f>
        <v/>
      </c>
      <c r="G140" s="6" t="str">
        <f>IF(F140="","Pending",IF(F140&lt;7,"Weekback","No Weekback"))</f>
        <v>Pending</v>
      </c>
    </row>
    <row r="141" spans="1:7">
      <c r="A141" s="6" t="str">
        <f>IF(B141="","",_xlfn.XLOOKUP(B141,'All '!B:B,'All '!A:A,"No Found"))</f>
        <v/>
      </c>
      <c r="C141" s="6" t="str">
        <f>IF(B141="","",_xlfn.XLOOKUP($B141,'All '!B:B,'All '!C:C,"No Found"))</f>
        <v/>
      </c>
      <c r="D141" s="6" t="str">
        <f>IF(B141="","",COUNTIF($B$2:B141,B141))</f>
        <v/>
      </c>
      <c r="G141" s="6" t="str">
        <f>IF(F141="","Pending",IF(F141&lt;7,"Weekback","No Weekback"))</f>
        <v>Pending</v>
      </c>
    </row>
    <row r="142" spans="1:7">
      <c r="A142" s="6" t="str">
        <f>IF(B142="","",_xlfn.XLOOKUP(B142,'All '!B:B,'All '!A:A,"No Found"))</f>
        <v/>
      </c>
      <c r="C142" s="6" t="str">
        <f>IF(B142="","",_xlfn.XLOOKUP($B142,'All '!B:B,'All '!C:C,"No Found"))</f>
        <v/>
      </c>
      <c r="D142" s="6" t="str">
        <f>IF(B142="","",COUNTIF($B$2:B142,B142))</f>
        <v/>
      </c>
      <c r="G142" s="6" t="str">
        <f>IF(F142="","Pending",IF(F142&lt;7,"Weekback","No Weekback"))</f>
        <v>Pending</v>
      </c>
    </row>
    <row r="143" spans="1:7">
      <c r="A143" s="6" t="str">
        <f>IF(B143="","",_xlfn.XLOOKUP(B143,'All '!B:B,'All '!A:A,"No Found"))</f>
        <v/>
      </c>
      <c r="C143" s="6" t="str">
        <f>IF(B143="","",_xlfn.XLOOKUP($B143,'All '!B:B,'All '!C:C,"No Found"))</f>
        <v/>
      </c>
      <c r="D143" s="6" t="str">
        <f>IF(B143="","",COUNTIF($B$2:B143,B143))</f>
        <v/>
      </c>
      <c r="G143" s="6" t="str">
        <f>IF(F143="","Pending",IF(F143&lt;7,"Weekback","No Weekback"))</f>
        <v>Pending</v>
      </c>
    </row>
    <row r="144" spans="1:7">
      <c r="A144" s="6" t="str">
        <f>IF(B144="","",_xlfn.XLOOKUP(B144,'All '!B:B,'All '!A:A,"No Found"))</f>
        <v/>
      </c>
      <c r="C144" s="6" t="str">
        <f>IF(B144="","",_xlfn.XLOOKUP($B144,'All '!B:B,'All '!C:C,"No Found"))</f>
        <v/>
      </c>
      <c r="D144" s="6" t="str">
        <f>IF(B144="","",COUNTIF($B$2:B144,B144))</f>
        <v/>
      </c>
      <c r="G144" s="6" t="str">
        <f>IF(F144="","Pending",IF(F144&lt;7,"Weekback","No Weekback"))</f>
        <v>Pending</v>
      </c>
    </row>
    <row r="145" spans="1:7">
      <c r="A145" s="6" t="str">
        <f>IF(B145="","",_xlfn.XLOOKUP(B145,'All '!B:B,'All '!A:A,"No Found"))</f>
        <v/>
      </c>
      <c r="C145" s="6" t="str">
        <f>IF(B145="","",_xlfn.XLOOKUP($B145,'All '!B:B,'All '!C:C,"No Found"))</f>
        <v/>
      </c>
      <c r="D145" s="6" t="str">
        <f>IF(B145="","",COUNTIF($B$2:B145,B145))</f>
        <v/>
      </c>
      <c r="G145" s="6" t="str">
        <f>IF(F145="","Pending",IF(F145&lt;7,"Weekback","No Weekback"))</f>
        <v>Pending</v>
      </c>
    </row>
    <row r="146" spans="1:7">
      <c r="A146" s="6" t="str">
        <f>IF(B146="","",_xlfn.XLOOKUP(B146,'All '!B:B,'All '!A:A,"No Found"))</f>
        <v/>
      </c>
      <c r="C146" s="6" t="str">
        <f>IF(B146="","",_xlfn.XLOOKUP($B146,'All '!B:B,'All '!C:C,"No Found"))</f>
        <v/>
      </c>
      <c r="D146" s="6" t="str">
        <f>IF(B146="","",COUNTIF($B$2:B146,B146))</f>
        <v/>
      </c>
      <c r="G146" s="6" t="str">
        <f>IF(F146="","Pending",IF(F146&lt;7,"Weekback","No Weekback"))</f>
        <v>Pending</v>
      </c>
    </row>
    <row r="147" spans="1:7">
      <c r="A147" s="6" t="str">
        <f>IF(B147="","",_xlfn.XLOOKUP(B147,'All '!B:B,'All '!A:A,"No Found"))</f>
        <v/>
      </c>
      <c r="C147" s="6" t="str">
        <f>IF(B147="","",_xlfn.XLOOKUP($B147,'All '!B:B,'All '!C:C,"No Found"))</f>
        <v/>
      </c>
      <c r="D147" s="6" t="str">
        <f>IF(B147="","",COUNTIF($B$2:B147,B147))</f>
        <v/>
      </c>
      <c r="G147" s="6" t="str">
        <f>IF(F147="","Pending",IF(F147&lt;7,"Weekback","No Weekback"))</f>
        <v>Pending</v>
      </c>
    </row>
    <row r="148" spans="1:7">
      <c r="A148" s="6" t="str">
        <f>IF(B148="","",_xlfn.XLOOKUP(B148,'All '!B:B,'All '!A:A,"No Found"))</f>
        <v/>
      </c>
      <c r="C148" s="6" t="str">
        <f>IF(B148="","",_xlfn.XLOOKUP($B148,'All '!B:B,'All '!C:C,"No Found"))</f>
        <v/>
      </c>
      <c r="D148" s="6" t="str">
        <f>IF(B148="","",COUNTIF($B$2:B148,B148))</f>
        <v/>
      </c>
      <c r="G148" s="6" t="str">
        <f>IF(F148="","Pending",IF(F148&lt;7,"Weekback","No Weekback"))</f>
        <v>Pending</v>
      </c>
    </row>
    <row r="149" spans="1:7">
      <c r="A149" s="6" t="str">
        <f>IF(B149="","",_xlfn.XLOOKUP(B149,'All '!B:B,'All '!A:A,"No Found"))</f>
        <v/>
      </c>
      <c r="C149" s="6" t="str">
        <f>IF(B149="","",_xlfn.XLOOKUP($B149,'All '!B:B,'All '!C:C,"No Found"))</f>
        <v/>
      </c>
      <c r="D149" s="6" t="str">
        <f>IF(B149="","",COUNTIF($B$2:B149,B149))</f>
        <v/>
      </c>
      <c r="G149" s="6" t="str">
        <f>IF(F149="","Pending",IF(F149&lt;7,"Weekback","No Weekback"))</f>
        <v>Pending</v>
      </c>
    </row>
    <row r="150" spans="1:7">
      <c r="A150" s="6" t="str">
        <f>IF(B150="","",_xlfn.XLOOKUP(B150,'All '!B:B,'All '!A:A,"No Found"))</f>
        <v/>
      </c>
      <c r="C150" s="6" t="str">
        <f>IF(B150="","",_xlfn.XLOOKUP($B150,'All '!B:B,'All '!C:C,"No Found"))</f>
        <v/>
      </c>
      <c r="D150" s="6" t="str">
        <f>IF(B150="","",COUNTIF($B$2:B150,B150))</f>
        <v/>
      </c>
      <c r="G150" s="6" t="str">
        <f>IF(F150="","Pending",IF(F150&lt;7,"Weekback","No Weekback"))</f>
        <v>Pending</v>
      </c>
    </row>
    <row r="151" spans="1:7">
      <c r="A151" s="6" t="str">
        <f>IF(B151="","",_xlfn.XLOOKUP(B151,'All '!B:B,'All '!A:A,"No Found"))</f>
        <v/>
      </c>
      <c r="C151" s="6" t="str">
        <f>IF(B151="","",_xlfn.XLOOKUP($B151,'All '!B:B,'All '!C:C,"No Found"))</f>
        <v/>
      </c>
      <c r="D151" s="6" t="str">
        <f>IF(B151="","",COUNTIF($B$2:B151,B151))</f>
        <v/>
      </c>
      <c r="G151" s="6" t="str">
        <f>IF(F151="","Pending",IF(F151&lt;7,"Weekback","No Weekback"))</f>
        <v>Pending</v>
      </c>
    </row>
    <row r="152" spans="1:7">
      <c r="A152" s="6" t="str">
        <f>IF(B152="","",_xlfn.XLOOKUP(B152,'All '!B:B,'All '!A:A,"No Found"))</f>
        <v/>
      </c>
      <c r="C152" s="6" t="str">
        <f>IF(B152="","",_xlfn.XLOOKUP($B152,'All '!B:B,'All '!C:C,"No Found"))</f>
        <v/>
      </c>
      <c r="D152" s="6" t="str">
        <f>IF(B152="","",COUNTIF($B$2:B152,B152))</f>
        <v/>
      </c>
      <c r="G152" s="6" t="str">
        <f>IF(F152="","Pending",IF(F152&lt;7,"Weekback","No Weekback"))</f>
        <v>Pending</v>
      </c>
    </row>
    <row r="153" spans="1:7">
      <c r="A153" s="6" t="str">
        <f>IF(B153="","",_xlfn.XLOOKUP(B153,'All '!B:B,'All '!A:A,"No Found"))</f>
        <v/>
      </c>
      <c r="C153" s="6" t="str">
        <f>IF(B153="","",_xlfn.XLOOKUP($B153,'All '!B:B,'All '!C:C,"No Found"))</f>
        <v/>
      </c>
      <c r="D153" s="6" t="str">
        <f>IF(B153="","",COUNTIF($B$2:B153,B153))</f>
        <v/>
      </c>
      <c r="G153" s="6" t="str">
        <f>IF(F153="","Pending",IF(F153&lt;7,"Weekback","No Weekback"))</f>
        <v>Pending</v>
      </c>
    </row>
    <row r="154" spans="1:7">
      <c r="A154" s="6" t="str">
        <f>IF(B154="","",_xlfn.XLOOKUP(B154,'All '!B:B,'All '!A:A,"No Found"))</f>
        <v/>
      </c>
      <c r="C154" s="6" t="str">
        <f>IF(B154="","",_xlfn.XLOOKUP($B154,'All '!B:B,'All '!C:C,"No Found"))</f>
        <v/>
      </c>
      <c r="D154" s="6" t="str">
        <f>IF(B154="","",COUNTIF($B$2:B154,B154))</f>
        <v/>
      </c>
      <c r="G154" s="6" t="str">
        <f>IF(F154="","Pending",IF(F154&lt;7,"Weekback","No Weekback"))</f>
        <v>Pending</v>
      </c>
    </row>
    <row r="155" spans="1:7">
      <c r="A155" s="6" t="str">
        <f>IF(B155="","",_xlfn.XLOOKUP(B155,'All '!B:B,'All '!A:A,"No Found"))</f>
        <v/>
      </c>
      <c r="C155" s="6" t="str">
        <f>IF(B155="","",_xlfn.XLOOKUP($B155,'All '!B:B,'All '!C:C,"No Found"))</f>
        <v/>
      </c>
      <c r="D155" s="6" t="str">
        <f>IF(B155="","",COUNTIF($B$2:B155,B155))</f>
        <v/>
      </c>
      <c r="G155" s="6" t="str">
        <f>IF(F155="","Pending",IF(F155&lt;7,"Weekback","No Weekback"))</f>
        <v>Pending</v>
      </c>
    </row>
    <row r="156" spans="1:7">
      <c r="A156" s="6" t="str">
        <f>IF(B156="","",_xlfn.XLOOKUP(B156,'All '!B:B,'All '!A:A,"No Found"))</f>
        <v/>
      </c>
      <c r="C156" s="6" t="str">
        <f>IF(B156="","",_xlfn.XLOOKUP($B156,'All '!B:B,'All '!C:C,"No Found"))</f>
        <v/>
      </c>
      <c r="D156" s="6" t="str">
        <f>IF(B156="","",COUNTIF($B$2:B156,B156))</f>
        <v/>
      </c>
      <c r="G156" s="6" t="str">
        <f>IF(F156="","Pending",IF(F156&lt;7,"Weekback","No Weekback"))</f>
        <v>Pending</v>
      </c>
    </row>
    <row r="157" spans="1:7">
      <c r="A157" s="6" t="str">
        <f>IF(B157="","",_xlfn.XLOOKUP(B157,'All '!B:B,'All '!A:A,"No Found"))</f>
        <v/>
      </c>
      <c r="C157" s="6" t="str">
        <f>IF(B157="","",_xlfn.XLOOKUP($B157,'All '!B:B,'All '!C:C,"No Found"))</f>
        <v/>
      </c>
      <c r="D157" s="6" t="str">
        <f>IF(B157="","",COUNTIF($B$2:B157,B157))</f>
        <v/>
      </c>
      <c r="G157" s="6" t="str">
        <f>IF(F157="","Pending",IF(F157&lt;7,"Weekback","No Weekback"))</f>
        <v>Pending</v>
      </c>
    </row>
    <row r="158" spans="1:7">
      <c r="A158" s="6" t="str">
        <f>IF(B158="","",_xlfn.XLOOKUP(B158,'All '!B:B,'All '!A:A,"No Found"))</f>
        <v/>
      </c>
      <c r="C158" s="6" t="str">
        <f>IF(B158="","",_xlfn.XLOOKUP($B158,'All '!B:B,'All '!C:C,"No Found"))</f>
        <v/>
      </c>
      <c r="D158" s="6" t="str">
        <f>IF(B158="","",COUNTIF($B$2:B158,B158))</f>
        <v/>
      </c>
      <c r="G158" s="6" t="str">
        <f>IF(F158="","Pending",IF(F158&lt;7,"Weekback","No Weekback"))</f>
        <v>Pending</v>
      </c>
    </row>
    <row r="159" spans="1:7">
      <c r="A159" s="6" t="str">
        <f>IF(B159="","",_xlfn.XLOOKUP(B159,'All '!B:B,'All '!A:A,"No Found"))</f>
        <v/>
      </c>
      <c r="C159" s="6" t="str">
        <f>IF(B159="","",_xlfn.XLOOKUP($B159,'All '!B:B,'All '!C:C,"No Found"))</f>
        <v/>
      </c>
      <c r="D159" s="6" t="str">
        <f>IF(B159="","",COUNTIF($B$2:B159,B159))</f>
        <v/>
      </c>
      <c r="G159" s="6" t="str">
        <f>IF(F159="","Pending",IF(F159&lt;7,"Weekback","No Weekback"))</f>
        <v>Pending</v>
      </c>
    </row>
    <row r="160" spans="1:7">
      <c r="A160" s="6" t="str">
        <f>IF(B160="","",_xlfn.XLOOKUP(B160,'All '!B:B,'All '!A:A,"No Found"))</f>
        <v/>
      </c>
      <c r="C160" s="6" t="str">
        <f>IF(B160="","",_xlfn.XLOOKUP($B160,'All '!B:B,'All '!C:C,"No Found"))</f>
        <v/>
      </c>
      <c r="D160" s="6" t="str">
        <f>IF(B160="","",COUNTIF($B$2:B160,B160))</f>
        <v/>
      </c>
      <c r="G160" s="6" t="str">
        <f>IF(F160="","Pending",IF(F160&lt;7,"Weekback","No Weekback"))</f>
        <v>Pending</v>
      </c>
    </row>
    <row r="161" spans="1:7">
      <c r="A161" s="6" t="str">
        <f>IF(B161="","",_xlfn.XLOOKUP(B161,'All '!B:B,'All '!A:A,"No Found"))</f>
        <v/>
      </c>
      <c r="C161" s="6" t="str">
        <f>IF(B161="","",_xlfn.XLOOKUP($B161,'All '!B:B,'All '!C:C,"No Found"))</f>
        <v/>
      </c>
      <c r="D161" s="6" t="str">
        <f>IF(B161="","",COUNTIF($B$2:B161,B161))</f>
        <v/>
      </c>
      <c r="G161" s="6" t="str">
        <f>IF(F161="","Pending",IF(F161&lt;7,"Weekback","No Weekback"))</f>
        <v>Pending</v>
      </c>
    </row>
    <row r="162" spans="1:7">
      <c r="A162" s="6" t="str">
        <f>IF(B162="","",_xlfn.XLOOKUP(B162,'All '!B:B,'All '!A:A,"No Found"))</f>
        <v/>
      </c>
      <c r="C162" s="6" t="str">
        <f>IF(B162="","",_xlfn.XLOOKUP($B162,'All '!B:B,'All '!C:C,"No Found"))</f>
        <v/>
      </c>
      <c r="D162" s="6" t="str">
        <f>IF(B162="","",COUNTIF($B$2:B162,B162))</f>
        <v/>
      </c>
      <c r="G162" s="6" t="str">
        <f>IF(F162="","Pending",IF(F162&lt;7,"Weekback","No Weekback"))</f>
        <v>Pending</v>
      </c>
    </row>
    <row r="163" spans="1:7">
      <c r="A163" s="6" t="str">
        <f>IF(B163="","",_xlfn.XLOOKUP(B163,'All '!B:B,'All '!A:A,"No Found"))</f>
        <v/>
      </c>
      <c r="C163" s="6" t="str">
        <f>IF(B163="","",_xlfn.XLOOKUP($B163,'All '!B:B,'All '!C:C,"No Found"))</f>
        <v/>
      </c>
      <c r="D163" s="6" t="str">
        <f>IF(B163="","",COUNTIF($B$2:B163,B163))</f>
        <v/>
      </c>
      <c r="G163" s="6" t="str">
        <f>IF(F163="","Pending",IF(F163&lt;7,"Weekback","No Weekback"))</f>
        <v>Pending</v>
      </c>
    </row>
    <row r="164" spans="1:7">
      <c r="A164" s="6" t="str">
        <f>IF(B164="","",_xlfn.XLOOKUP(B164,'All '!B:B,'All '!A:A,"No Found"))</f>
        <v/>
      </c>
      <c r="C164" s="6" t="str">
        <f>IF(B164="","",_xlfn.XLOOKUP($B164,'All '!B:B,'All '!C:C,"No Found"))</f>
        <v/>
      </c>
      <c r="D164" s="6" t="str">
        <f>IF(B164="","",COUNTIF($B$2:B164,B164))</f>
        <v/>
      </c>
      <c r="G164" s="6" t="str">
        <f>IF(F164="","Pending",IF(F164&lt;7,"Weekback","No Weekback"))</f>
        <v>Pending</v>
      </c>
    </row>
    <row r="165" spans="1:7">
      <c r="A165" s="6" t="str">
        <f>IF(B165="","",_xlfn.XLOOKUP(B165,'All '!B:B,'All '!A:A,"No Found"))</f>
        <v/>
      </c>
      <c r="C165" s="6" t="str">
        <f>IF(B165="","",_xlfn.XLOOKUP($B165,'All '!B:B,'All '!C:C,"No Found"))</f>
        <v/>
      </c>
      <c r="D165" s="6" t="str">
        <f>IF(B165="","",COUNTIF($B$2:B165,B165))</f>
        <v/>
      </c>
      <c r="G165" s="6" t="str">
        <f>IF(F165="","Pending",IF(F165&lt;7,"Weekback","No Weekback"))</f>
        <v>Pending</v>
      </c>
    </row>
    <row r="166" spans="1:7">
      <c r="A166" s="6" t="str">
        <f>IF(B166="","",_xlfn.XLOOKUP(B166,'All '!B:B,'All '!A:A,"No Found"))</f>
        <v/>
      </c>
      <c r="C166" s="6" t="str">
        <f>IF(B166="","",_xlfn.XLOOKUP($B166,'All '!B:B,'All '!C:C,"No Found"))</f>
        <v/>
      </c>
      <c r="D166" s="6" t="str">
        <f>IF(B166="","",COUNTIF($B$2:B166,B166))</f>
        <v/>
      </c>
      <c r="G166" s="6" t="str">
        <f>IF(F166="","Pending",IF(F166&lt;7,"Weekback","No Weekback"))</f>
        <v>Pending</v>
      </c>
    </row>
    <row r="167" spans="1:7">
      <c r="A167" s="6" t="str">
        <f>IF(B167="","",_xlfn.XLOOKUP(B167,'All '!B:B,'All '!A:A,"No Found"))</f>
        <v/>
      </c>
      <c r="C167" s="6" t="str">
        <f>IF(B167="","",_xlfn.XLOOKUP($B167,'All '!B:B,'All '!C:C,"No Found"))</f>
        <v/>
      </c>
      <c r="D167" s="6" t="str">
        <f>IF(B167="","",COUNTIF($B$2:B167,B167))</f>
        <v/>
      </c>
      <c r="G167" s="6" t="str">
        <f>IF(F167="","Pending",IF(F167&lt;7,"Weekback","No Weekback"))</f>
        <v>Pending</v>
      </c>
    </row>
    <row r="168" spans="1:7">
      <c r="A168" s="6" t="str">
        <f>IF(B168="","",_xlfn.XLOOKUP(B168,'All '!B:B,'All '!A:A,"No Found"))</f>
        <v/>
      </c>
      <c r="C168" s="6" t="str">
        <f>IF(B168="","",_xlfn.XLOOKUP($B168,'All '!B:B,'All '!C:C,"No Found"))</f>
        <v/>
      </c>
      <c r="D168" s="6" t="str">
        <f>IF(B168="","",COUNTIF($B$2:B168,B168))</f>
        <v/>
      </c>
      <c r="G168" s="6" t="str">
        <f>IF(F168="","Pending",IF(F168&lt;7,"Weekback","No Weekback"))</f>
        <v>Pending</v>
      </c>
    </row>
    <row r="169" spans="1:7">
      <c r="A169" s="6" t="str">
        <f>IF(B169="","",_xlfn.XLOOKUP(B169,'All '!B:B,'All '!A:A,"No Found"))</f>
        <v/>
      </c>
      <c r="C169" s="6" t="str">
        <f>IF(B169="","",_xlfn.XLOOKUP($B169,'All '!B:B,'All '!C:C,"No Found"))</f>
        <v/>
      </c>
      <c r="D169" s="6" t="str">
        <f>IF(B169="","",COUNTIF($B$2:B169,B169))</f>
        <v/>
      </c>
      <c r="G169" s="6" t="str">
        <f>IF(F169="","Pending",IF(F169&lt;7,"Weekback","No Weekback"))</f>
        <v>Pending</v>
      </c>
    </row>
    <row r="170" spans="1:7">
      <c r="A170" s="6" t="str">
        <f>IF(B170="","",_xlfn.XLOOKUP(B170,'All '!B:B,'All '!A:A,"No Found"))</f>
        <v/>
      </c>
      <c r="C170" s="6" t="str">
        <f>IF(B170="","",_xlfn.XLOOKUP($B170,'All '!B:B,'All '!C:C,"No Found"))</f>
        <v/>
      </c>
      <c r="D170" s="6" t="str">
        <f>IF(B170="","",COUNTIF($B$2:B170,B170))</f>
        <v/>
      </c>
      <c r="G170" s="6" t="str">
        <f>IF(F170="","Pending",IF(F170&lt;7,"Weekback","No Weekback"))</f>
        <v>Pending</v>
      </c>
    </row>
    <row r="171" spans="1:7">
      <c r="A171" s="6" t="str">
        <f>IF(B171="","",_xlfn.XLOOKUP(B171,'All '!B:B,'All '!A:A,"No Found"))</f>
        <v/>
      </c>
      <c r="C171" s="6" t="str">
        <f>IF(B171="","",_xlfn.XLOOKUP($B171,'All '!B:B,'All '!C:C,"No Found"))</f>
        <v/>
      </c>
      <c r="D171" s="6" t="str">
        <f>IF(B171="","",COUNTIF($B$2:B171,B171))</f>
        <v/>
      </c>
      <c r="G171" s="6" t="str">
        <f>IF(F171="","Pending",IF(F171&lt;7,"Weekback","No Weekback"))</f>
        <v>Pending</v>
      </c>
    </row>
    <row r="172" spans="1:7">
      <c r="A172" s="6" t="str">
        <f>IF(B172="","",_xlfn.XLOOKUP(B172,'All '!B:B,'All '!A:A,"No Found"))</f>
        <v/>
      </c>
      <c r="C172" s="6" t="str">
        <f>IF(B172="","",_xlfn.XLOOKUP($B172,'All '!B:B,'All '!C:C,"No Found"))</f>
        <v/>
      </c>
      <c r="D172" s="6" t="str">
        <f>IF(B172="","",COUNTIF($B$2:B172,B172))</f>
        <v/>
      </c>
      <c r="G172" s="6" t="str">
        <f>IF(F172="","Pending",IF(F172&lt;7,"Weekback","No Weekback"))</f>
        <v>Pending</v>
      </c>
    </row>
    <row r="173" spans="1:7">
      <c r="A173" s="6" t="str">
        <f>IF(B173="","",_xlfn.XLOOKUP(B173,'All '!B:B,'All '!A:A,"No Found"))</f>
        <v/>
      </c>
      <c r="C173" s="6" t="str">
        <f>IF(B173="","",_xlfn.XLOOKUP($B173,'All '!B:B,'All '!C:C,"No Found"))</f>
        <v/>
      </c>
      <c r="D173" s="6" t="str">
        <f>IF(B173="","",COUNTIF($B$2:B173,B173))</f>
        <v/>
      </c>
      <c r="G173" s="6" t="str">
        <f>IF(F173="","Pending",IF(F173&lt;7,"Weekback","No Weekback"))</f>
        <v>Pending</v>
      </c>
    </row>
    <row r="174" spans="1:7">
      <c r="A174" s="6" t="str">
        <f>IF(B174="","",_xlfn.XLOOKUP(B174,'All '!B:B,'All '!A:A,"No Found"))</f>
        <v/>
      </c>
      <c r="C174" s="6" t="str">
        <f>IF(B174="","",_xlfn.XLOOKUP($B174,'All '!B:B,'All '!C:C,"No Found"))</f>
        <v/>
      </c>
      <c r="D174" s="6" t="str">
        <f>IF(B174="","",COUNTIF($B$2:B174,B174))</f>
        <v/>
      </c>
      <c r="G174" s="6" t="str">
        <f>IF(F174="","Pending",IF(F174&lt;7,"Weekback","No Weekback"))</f>
        <v>Pending</v>
      </c>
    </row>
    <row r="175" spans="1:7">
      <c r="A175" s="6" t="str">
        <f>IF(B175="","",_xlfn.XLOOKUP(B175,'All '!B:B,'All '!A:A,"No Found"))</f>
        <v/>
      </c>
      <c r="C175" s="6" t="str">
        <f>IF(B175="","",_xlfn.XLOOKUP($B175,'All '!B:B,'All '!C:C,"No Found"))</f>
        <v/>
      </c>
      <c r="D175" s="6" t="str">
        <f>IF(B175="","",COUNTIF($B$2:B175,B175))</f>
        <v/>
      </c>
      <c r="G175" s="6" t="str">
        <f>IF(F175="","Pending",IF(F175&lt;7,"Weekback","No Weekback"))</f>
        <v>Pending</v>
      </c>
    </row>
    <row r="176" spans="1:7">
      <c r="A176" s="6" t="str">
        <f>IF(B176="","",_xlfn.XLOOKUP(B176,'All '!B:B,'All '!A:A,"No Found"))</f>
        <v/>
      </c>
      <c r="C176" s="6" t="str">
        <f>IF(B176="","",_xlfn.XLOOKUP($B176,'All '!B:B,'All '!C:C,"No Found"))</f>
        <v/>
      </c>
      <c r="D176" s="6" t="str">
        <f>IF(B176="","",COUNTIF($B$2:B176,B176))</f>
        <v/>
      </c>
      <c r="G176" s="6" t="str">
        <f>IF(F176="","Pending",IF(F176&lt;7,"Weekback","No Weekback"))</f>
        <v>Pending</v>
      </c>
    </row>
    <row r="177" spans="1:7">
      <c r="A177" s="6" t="str">
        <f>IF(B177="","",_xlfn.XLOOKUP(B177,'All '!B:B,'All '!A:A,"No Found"))</f>
        <v/>
      </c>
      <c r="C177" s="6" t="str">
        <f>IF(B177="","",_xlfn.XLOOKUP($B177,'All '!B:B,'All '!C:C,"No Found"))</f>
        <v/>
      </c>
      <c r="D177" s="6" t="str">
        <f>IF(B177="","",COUNTIF($B$2:B177,B177))</f>
        <v/>
      </c>
      <c r="G177" s="6" t="str">
        <f>IF(F177="","Pending",IF(F177&lt;7,"Weekback","No Weekback"))</f>
        <v>Pending</v>
      </c>
    </row>
    <row r="178" spans="1:7">
      <c r="A178" s="6" t="str">
        <f>IF(B178="","",_xlfn.XLOOKUP(B178,'All '!B:B,'All '!A:A,"No Found"))</f>
        <v/>
      </c>
      <c r="C178" s="6" t="str">
        <f>IF(B178="","",_xlfn.XLOOKUP($B178,'All '!B:B,'All '!C:C,"No Found"))</f>
        <v/>
      </c>
      <c r="D178" s="6" t="str">
        <f>IF(B178="","",COUNTIF($B$2:B178,B178))</f>
        <v/>
      </c>
      <c r="G178" s="6" t="str">
        <f>IF(F178="","Pending",IF(F178&lt;7,"Weekback","No Weekback"))</f>
        <v>Pending</v>
      </c>
    </row>
    <row r="179" spans="1:7">
      <c r="A179" s="6" t="str">
        <f>IF(B179="","",_xlfn.XLOOKUP(B179,'All '!B:B,'All '!A:A,"No Found"))</f>
        <v/>
      </c>
      <c r="C179" s="6" t="str">
        <f>IF(B179="","",_xlfn.XLOOKUP($B179,'All '!B:B,'All '!C:C,"No Found"))</f>
        <v/>
      </c>
      <c r="D179" s="6" t="str">
        <f>IF(B179="","",COUNTIF($B$2:B179,B179))</f>
        <v/>
      </c>
      <c r="G179" s="6" t="str">
        <f>IF(F179="","Pending",IF(F179&lt;7,"Weekback","No Weekback"))</f>
        <v>Pending</v>
      </c>
    </row>
    <row r="180" spans="1:7">
      <c r="A180" s="6" t="str">
        <f>IF(B180="","",_xlfn.XLOOKUP(B180,'All '!B:B,'All '!A:A,"No Found"))</f>
        <v/>
      </c>
      <c r="C180" s="6" t="str">
        <f>IF(B180="","",_xlfn.XLOOKUP($B180,'All '!B:B,'All '!C:C,"No Found"))</f>
        <v/>
      </c>
      <c r="D180" s="6" t="str">
        <f>IF(B180="","",COUNTIF($B$2:B180,B180))</f>
        <v/>
      </c>
      <c r="G180" s="6" t="str">
        <f>IF(F180="","Pending",IF(F180&lt;7,"Weekback","No Weekback"))</f>
        <v>Pending</v>
      </c>
    </row>
    <row r="181" spans="1:7">
      <c r="A181" s="6" t="str">
        <f>IF(B181="","",_xlfn.XLOOKUP(B181,'All '!B:B,'All '!A:A,"No Found"))</f>
        <v/>
      </c>
      <c r="C181" s="6" t="str">
        <f>IF(B181="","",_xlfn.XLOOKUP($B181,'All '!B:B,'All '!C:C,"No Found"))</f>
        <v/>
      </c>
      <c r="D181" s="6" t="str">
        <f>IF(B181="","",COUNTIF($B$2:B181,B181))</f>
        <v/>
      </c>
      <c r="G181" s="6" t="str">
        <f>IF(F181="","Pending",IF(F181&lt;7,"Weekback","No Weekback"))</f>
        <v>Pending</v>
      </c>
    </row>
    <row r="182" spans="1:7">
      <c r="A182" s="6" t="str">
        <f>IF(B182="","",_xlfn.XLOOKUP(B182,'All '!B:B,'All '!A:A,"No Found"))</f>
        <v/>
      </c>
      <c r="C182" s="6" t="str">
        <f>IF(B182="","",_xlfn.XLOOKUP($B182,'All '!B:B,'All '!C:C,"No Found"))</f>
        <v/>
      </c>
      <c r="D182" s="6" t="str">
        <f>IF(B182="","",COUNTIF($B$2:B182,B182))</f>
        <v/>
      </c>
      <c r="G182" s="6" t="str">
        <f>IF(F182="","Pending",IF(F182&lt;7,"Weekback","No Weekback"))</f>
        <v>Pending</v>
      </c>
    </row>
    <row r="183" spans="1:7">
      <c r="A183" s="6" t="str">
        <f>IF(B183="","",_xlfn.XLOOKUP(B183,'All '!B:B,'All '!A:A,"No Found"))</f>
        <v/>
      </c>
      <c r="C183" s="6" t="str">
        <f>IF(B183="","",_xlfn.XLOOKUP($B183,'All '!B:B,'All '!C:C,"No Found"))</f>
        <v/>
      </c>
      <c r="D183" s="6" t="str">
        <f>IF(B183="","",COUNTIF($B$2:B183,B183))</f>
        <v/>
      </c>
      <c r="G183" s="6" t="str">
        <f>IF(F183="","Pending",IF(F183&lt;7,"Weekback","No Weekback"))</f>
        <v>Pending</v>
      </c>
    </row>
    <row r="184" spans="1:7">
      <c r="A184" s="6" t="str">
        <f>IF(B184="","",_xlfn.XLOOKUP(B184,'All '!B:B,'All '!A:A,"No Found"))</f>
        <v/>
      </c>
      <c r="C184" s="6" t="str">
        <f>IF(B184="","",_xlfn.XLOOKUP($B184,'All '!B:B,'All '!C:C,"No Found"))</f>
        <v/>
      </c>
      <c r="D184" s="6" t="str">
        <f>IF(B184="","",COUNTIF($B$2:B184,B184))</f>
        <v/>
      </c>
      <c r="G184" s="6" t="str">
        <f>IF(F184="","Pending",IF(F184&lt;7,"Weekback","No Weekback"))</f>
        <v>Pending</v>
      </c>
    </row>
    <row r="185" spans="1:7">
      <c r="A185" s="6" t="str">
        <f>IF(B185="","",_xlfn.XLOOKUP(B185,'All '!B:B,'All '!A:A,"No Found"))</f>
        <v/>
      </c>
      <c r="C185" s="6" t="str">
        <f>IF(B185="","",_xlfn.XLOOKUP($B185,'All '!B:B,'All '!C:C,"No Found"))</f>
        <v/>
      </c>
      <c r="D185" s="6" t="str">
        <f>IF(B185="","",COUNTIF($B$2:B185,B185))</f>
        <v/>
      </c>
      <c r="G185" s="6" t="str">
        <f>IF(F185="","Pending",IF(F185&lt;7,"Weekback","No Weekback"))</f>
        <v>Pending</v>
      </c>
    </row>
    <row r="186" spans="1:7">
      <c r="A186" s="6" t="str">
        <f>IF(B186="","",_xlfn.XLOOKUP(B186,'All '!B:B,'All '!A:A,"No Found"))</f>
        <v/>
      </c>
      <c r="C186" s="6" t="str">
        <f>IF(B186="","",_xlfn.XLOOKUP($B186,'All '!B:B,'All '!C:C,"No Found"))</f>
        <v/>
      </c>
      <c r="D186" s="6" t="str">
        <f>IF(B186="","",COUNTIF($B$2:B186,B186))</f>
        <v/>
      </c>
      <c r="G186" s="6" t="str">
        <f>IF(F186="","Pending",IF(F186&lt;7,"Weekback","No Weekback"))</f>
        <v>Pending</v>
      </c>
    </row>
    <row r="187" spans="1:7">
      <c r="A187" s="6" t="str">
        <f>IF(B187="","",_xlfn.XLOOKUP(B187,'All '!B:B,'All '!A:A,"No Found"))</f>
        <v/>
      </c>
      <c r="C187" s="6" t="str">
        <f>IF(B187="","",_xlfn.XLOOKUP($B187,'All '!B:B,'All '!C:C,"No Found"))</f>
        <v/>
      </c>
      <c r="D187" s="6" t="str">
        <f>IF(B187="","",COUNTIF($B$2:B187,B187))</f>
        <v/>
      </c>
      <c r="G187" s="6" t="str">
        <f>IF(F187="","Pending",IF(F187&lt;7,"Weekback","No Weekback"))</f>
        <v>Pending</v>
      </c>
    </row>
    <row r="188" spans="1:7">
      <c r="A188" s="6" t="str">
        <f>IF(B188="","",_xlfn.XLOOKUP(B188,'All '!B:B,'All '!A:A,"No Found"))</f>
        <v/>
      </c>
      <c r="C188" s="6" t="str">
        <f>IF(B188="","",_xlfn.XLOOKUP($B188,'All '!B:B,'All '!C:C,"No Found"))</f>
        <v/>
      </c>
      <c r="D188" s="6" t="str">
        <f>IF(B188="","",COUNTIF($B$2:B188,B188))</f>
        <v/>
      </c>
      <c r="G188" s="6" t="str">
        <f>IF(F188="","Pending",IF(F188&lt;7,"Weekback","No Weekback"))</f>
        <v>Pending</v>
      </c>
    </row>
    <row r="189" spans="1:7">
      <c r="A189" s="6" t="str">
        <f>IF(B189="","",_xlfn.XLOOKUP(B189,'All '!B:B,'All '!A:A,"No Found"))</f>
        <v/>
      </c>
      <c r="C189" s="6" t="str">
        <f>IF(B189="","",_xlfn.XLOOKUP($B189,'All '!B:B,'All '!C:C,"No Found"))</f>
        <v/>
      </c>
      <c r="D189" s="6" t="str">
        <f>IF(B189="","",COUNTIF($B$2:B189,B189))</f>
        <v/>
      </c>
      <c r="G189" s="6" t="str">
        <f>IF(F189="","Pending",IF(F189&lt;7,"Weekback","No Weekback"))</f>
        <v>Pending</v>
      </c>
    </row>
    <row r="190" spans="1:7">
      <c r="A190" s="6" t="str">
        <f>IF(B190="","",_xlfn.XLOOKUP(B190,'All '!B:B,'All '!A:A,"No Found"))</f>
        <v/>
      </c>
      <c r="C190" s="6" t="str">
        <f>IF(B190="","",_xlfn.XLOOKUP($B190,'All '!B:B,'All '!C:C,"No Found"))</f>
        <v/>
      </c>
      <c r="D190" s="6" t="str">
        <f>IF(B190="","",COUNTIF($B$2:B190,B190))</f>
        <v/>
      </c>
      <c r="G190" s="6" t="str">
        <f>IF(F190="","Pending",IF(F190&lt;7,"Weekback","No Weekback"))</f>
        <v>Pending</v>
      </c>
    </row>
    <row r="191" spans="1:7">
      <c r="A191" s="6" t="str">
        <f>IF(B191="","",_xlfn.XLOOKUP(B191,'All '!B:B,'All '!A:A,"No Found"))</f>
        <v/>
      </c>
      <c r="C191" s="6" t="str">
        <f>IF(B191="","",_xlfn.XLOOKUP($B191,'All '!B:B,'All '!C:C,"No Found"))</f>
        <v/>
      </c>
      <c r="D191" s="6" t="str">
        <f>IF(B191="","",COUNTIF($B$2:B191,B191))</f>
        <v/>
      </c>
      <c r="G191" s="6" t="str">
        <f>IF(F191="","Pending",IF(F191&lt;7,"Weekback","No Weekback"))</f>
        <v>Pending</v>
      </c>
    </row>
    <row r="192" spans="1:7">
      <c r="A192" s="6" t="str">
        <f>IF(B192="","",_xlfn.XLOOKUP(B192,'All '!B:B,'All '!A:A,"No Found"))</f>
        <v/>
      </c>
      <c r="C192" s="6" t="str">
        <f>IF(B192="","",_xlfn.XLOOKUP($B192,'All '!B:B,'All '!C:C,"No Found"))</f>
        <v/>
      </c>
      <c r="D192" s="6" t="str">
        <f>IF(B192="","",COUNTIF($B$2:B192,B192))</f>
        <v/>
      </c>
      <c r="G192" s="6" t="str">
        <f>IF(F192="","Pending",IF(F192&lt;7,"Weekback","No Weekback"))</f>
        <v>Pending</v>
      </c>
    </row>
    <row r="193" spans="1:7">
      <c r="A193" s="6" t="str">
        <f>IF(B193="","",_xlfn.XLOOKUP(B193,'All '!B:B,'All '!A:A,"No Found"))</f>
        <v/>
      </c>
      <c r="C193" s="6" t="str">
        <f>IF(B193="","",_xlfn.XLOOKUP($B193,'All '!B:B,'All '!C:C,"No Found"))</f>
        <v/>
      </c>
      <c r="D193" s="6" t="str">
        <f>IF(B193="","",COUNTIF($B$2:B193,B193))</f>
        <v/>
      </c>
      <c r="G193" s="6" t="str">
        <f>IF(F193="","Pending",IF(F193&lt;7,"Weekback","No Weekback"))</f>
        <v>Pending</v>
      </c>
    </row>
    <row r="194" spans="1:7">
      <c r="A194" s="6" t="str">
        <f>IF(B194="","",_xlfn.XLOOKUP(B194,'All '!B:B,'All '!A:A,"No Found"))</f>
        <v/>
      </c>
      <c r="C194" s="6" t="str">
        <f>IF(B194="","",_xlfn.XLOOKUP($B194,'All '!B:B,'All '!C:C,"No Found"))</f>
        <v/>
      </c>
      <c r="D194" s="6" t="str">
        <f>IF(B194="","",COUNTIF($B$2:B194,B194))</f>
        <v/>
      </c>
      <c r="G194" s="6" t="str">
        <f>IF(F194="","Pending",IF(F194&lt;7,"Weekback","No Weekback"))</f>
        <v>Pending</v>
      </c>
    </row>
    <row r="195" spans="1:7">
      <c r="A195" s="6" t="str">
        <f>IF(B195="","",_xlfn.XLOOKUP(B195,'All '!B:B,'All '!A:A,"No Found"))</f>
        <v/>
      </c>
      <c r="C195" s="6" t="str">
        <f>IF(B195="","",_xlfn.XLOOKUP($B195,'All '!B:B,'All '!C:C,"No Found"))</f>
        <v/>
      </c>
      <c r="D195" s="6" t="str">
        <f>IF(B195="","",COUNTIF($B$2:B195,B195))</f>
        <v/>
      </c>
      <c r="G195" s="6" t="str">
        <f>IF(F195="","Pending",IF(F195&lt;7,"Weekback","No Weekback"))</f>
        <v>Pending</v>
      </c>
    </row>
    <row r="196" spans="1:7">
      <c r="A196" s="6" t="str">
        <f>IF(B196="","",_xlfn.XLOOKUP(B196,'All '!B:B,'All '!A:A,"No Found"))</f>
        <v/>
      </c>
      <c r="C196" s="6" t="str">
        <f>IF(B196="","",_xlfn.XLOOKUP($B196,'All '!B:B,'All '!C:C,"No Found"))</f>
        <v/>
      </c>
      <c r="D196" s="6" t="str">
        <f>IF(B196="","",COUNTIF($B$2:B196,B196))</f>
        <v/>
      </c>
      <c r="G196" s="6" t="str">
        <f>IF(F196="","Pending",IF(F196&lt;7,"Weekback","No Weekback"))</f>
        <v>Pending</v>
      </c>
    </row>
    <row r="197" spans="1:7">
      <c r="A197" s="6" t="str">
        <f>IF(B197="","",_xlfn.XLOOKUP(B197,'All '!B:B,'All '!A:A,"No Found"))</f>
        <v/>
      </c>
      <c r="C197" s="6" t="str">
        <f>IF(B197="","",_xlfn.XLOOKUP($B197,'All '!B:B,'All '!C:C,"No Found"))</f>
        <v/>
      </c>
      <c r="D197" s="6" t="str">
        <f>IF(B197="","",COUNTIF($B$2:B197,B197))</f>
        <v/>
      </c>
      <c r="G197" s="6" t="str">
        <f>IF(F197="","Pending",IF(F197&lt;7,"Weekback","No Weekback"))</f>
        <v>Pending</v>
      </c>
    </row>
    <row r="198" spans="1:7">
      <c r="A198" s="6" t="str">
        <f>IF(B198="","",_xlfn.XLOOKUP(B198,'All '!B:B,'All '!A:A,"No Found"))</f>
        <v/>
      </c>
      <c r="C198" s="6" t="str">
        <f>IF(B198="","",_xlfn.XLOOKUP($B198,'All '!B:B,'All '!C:C,"No Found"))</f>
        <v/>
      </c>
      <c r="D198" s="6" t="str">
        <f>IF(B198="","",COUNTIF($B$2:B198,B198))</f>
        <v/>
      </c>
      <c r="G198" s="6" t="str">
        <f>IF(F198="","Pending",IF(F198&lt;7,"Weekback","No Weekback"))</f>
        <v>Pending</v>
      </c>
    </row>
    <row r="199" spans="1:7">
      <c r="A199" s="6" t="str">
        <f>IF(B199="","",_xlfn.XLOOKUP(B199,'All '!B:B,'All '!A:A,"No Found"))</f>
        <v/>
      </c>
      <c r="C199" s="6" t="str">
        <f>IF(B199="","",_xlfn.XLOOKUP($B199,'All '!B:B,'All '!C:C,"No Found"))</f>
        <v/>
      </c>
      <c r="D199" s="6" t="str">
        <f>IF(B199="","",COUNTIF($B$2:B199,B199))</f>
        <v/>
      </c>
      <c r="G199" s="6" t="str">
        <f>IF(F199="","Pending",IF(F199&lt;7,"Weekback","No Weekback"))</f>
        <v>Pending</v>
      </c>
    </row>
    <row r="200" spans="1:7">
      <c r="A200" s="6" t="str">
        <f>IF(B200="","",_xlfn.XLOOKUP(B200,'All '!B:B,'All '!A:A,"No Found"))</f>
        <v/>
      </c>
      <c r="C200" s="6" t="str">
        <f>IF(B200="","",_xlfn.XLOOKUP($B200,'All '!B:B,'All '!C:C,"No Found"))</f>
        <v/>
      </c>
      <c r="D200" s="6" t="str">
        <f>IF(B200="","",COUNTIF($B$2:B200,B200))</f>
        <v/>
      </c>
      <c r="G200" s="6" t="str">
        <f>IF(F200="","Pending",IF(F200&lt;7,"Weekback","No Weekback"))</f>
        <v>Pending</v>
      </c>
    </row>
    <row r="201" spans="1:7">
      <c r="A201" s="6" t="str">
        <f>IF(B201="","",_xlfn.XLOOKUP(B201,'All '!B:B,'All '!A:A,"No Found"))</f>
        <v/>
      </c>
      <c r="C201" s="6" t="str">
        <f>IF(B201="","",_xlfn.XLOOKUP($B201,'All '!B:B,'All '!C:C,"No Found"))</f>
        <v/>
      </c>
      <c r="D201" s="6" t="str">
        <f>IF(B201="","",COUNTIF($B$2:B201,B201))</f>
        <v/>
      </c>
      <c r="G201" s="6" t="str">
        <f>IF(F201="","Pending",IF(F201&lt;7,"Weekback","No Weekback"))</f>
        <v>Pending</v>
      </c>
    </row>
    <row r="202" spans="1:7">
      <c r="A202" s="6" t="str">
        <f>IF(B202="","",_xlfn.XLOOKUP(B202,'All '!B:B,'All '!A:A,"No Found"))</f>
        <v/>
      </c>
      <c r="C202" s="6" t="str">
        <f>IF(B202="","",_xlfn.XLOOKUP($B202,'All '!B:B,'All '!C:C,"No Found"))</f>
        <v/>
      </c>
      <c r="D202" s="6" t="str">
        <f>IF(B202="","",COUNTIF($B$2:B202,B202))</f>
        <v/>
      </c>
      <c r="G202" s="6" t="str">
        <f>IF(F202="","Pending",IF(F202&lt;7,"Weekback","No Weekback"))</f>
        <v>Pending</v>
      </c>
    </row>
    <row r="203" spans="1:7">
      <c r="A203" s="6" t="str">
        <f>IF(B203="","",_xlfn.XLOOKUP(B203,'All '!B:B,'All '!A:A,"No Found"))</f>
        <v/>
      </c>
      <c r="C203" s="6" t="str">
        <f>IF(B203="","",_xlfn.XLOOKUP($B203,'All '!B:B,'All '!C:C,"No Found"))</f>
        <v/>
      </c>
      <c r="D203" s="6" t="str">
        <f>IF(B203="","",COUNTIF($B$2:B203,B203))</f>
        <v/>
      </c>
      <c r="G203" s="6" t="str">
        <f>IF(F203="","Pending",IF(F203&lt;7,"Weekback","No Weekback"))</f>
        <v>Pending</v>
      </c>
    </row>
    <row r="204" spans="1:7">
      <c r="A204" s="6" t="str">
        <f>IF(B204="","",_xlfn.XLOOKUP(B204,'All '!B:B,'All '!A:A,"No Found"))</f>
        <v/>
      </c>
      <c r="C204" s="6" t="str">
        <f>IF(B204="","",_xlfn.XLOOKUP($B204,'All '!B:B,'All '!C:C,"No Found"))</f>
        <v/>
      </c>
      <c r="D204" s="6" t="str">
        <f>IF(B204="","",COUNTIF($B$2:B204,B204))</f>
        <v/>
      </c>
      <c r="G204" s="6" t="str">
        <f>IF(F204="","Pending",IF(F204&lt;7,"Weekback","No Weekback"))</f>
        <v>Pending</v>
      </c>
    </row>
    <row r="205" spans="1:7">
      <c r="A205" s="6" t="str">
        <f>IF(B205="","",_xlfn.XLOOKUP(B205,'All '!B:B,'All '!A:A,"No Found"))</f>
        <v/>
      </c>
      <c r="C205" s="6" t="str">
        <f>IF(B205="","",_xlfn.XLOOKUP($B205,'All '!B:B,'All '!C:C,"No Found"))</f>
        <v/>
      </c>
      <c r="D205" s="6" t="str">
        <f>IF(B205="","",COUNTIF($B$2:B205,B205))</f>
        <v/>
      </c>
      <c r="G205" s="6" t="str">
        <f>IF(F205="","Pending",IF(F205&lt;7,"Weekback","No Weekback"))</f>
        <v>Pending</v>
      </c>
    </row>
    <row r="206" spans="1:7">
      <c r="A206" s="6" t="str">
        <f>IF(B206="","",_xlfn.XLOOKUP(B206,'All '!B:B,'All '!A:A,"No Found"))</f>
        <v/>
      </c>
      <c r="C206" s="6" t="str">
        <f>IF(B206="","",_xlfn.XLOOKUP($B206,'All '!B:B,'All '!C:C,"No Found"))</f>
        <v/>
      </c>
      <c r="D206" s="6" t="str">
        <f>IF(B206="","",COUNTIF($B$2:B206,B206))</f>
        <v/>
      </c>
      <c r="G206" s="6" t="str">
        <f>IF(F206="","Pending",IF(F206&lt;7,"Weekback","No Weekback"))</f>
        <v>Pending</v>
      </c>
    </row>
    <row r="207" spans="1:7">
      <c r="A207" s="6" t="str">
        <f>IF(B207="","",_xlfn.XLOOKUP(B207,'All '!B:B,'All '!A:A,"No Found"))</f>
        <v/>
      </c>
      <c r="C207" s="6" t="str">
        <f>IF(B207="","",_xlfn.XLOOKUP($B207,'All '!B:B,'All '!C:C,"No Found"))</f>
        <v/>
      </c>
      <c r="D207" s="6" t="str">
        <f>IF(B207="","",COUNTIF($B$2:B207,B207))</f>
        <v/>
      </c>
      <c r="G207" s="6" t="str">
        <f>IF(F207="","Pending",IF(F207&lt;7,"Weekback","No Weekback"))</f>
        <v>Pending</v>
      </c>
    </row>
    <row r="208" spans="1:7">
      <c r="A208" s="6" t="str">
        <f>IF(B208="","",_xlfn.XLOOKUP(B208,'All '!B:B,'All '!A:A,"No Found"))</f>
        <v/>
      </c>
      <c r="C208" s="6" t="str">
        <f>IF(B208="","",_xlfn.XLOOKUP($B208,'All '!B:B,'All '!C:C,"No Found"))</f>
        <v/>
      </c>
      <c r="D208" s="6" t="str">
        <f>IF(B208="","",COUNTIF($B$2:B208,B208))</f>
        <v/>
      </c>
      <c r="G208" s="6" t="str">
        <f>IF(F208="","Pending",IF(F208&lt;7,"Weekback","No Weekback"))</f>
        <v>Pending</v>
      </c>
    </row>
    <row r="209" spans="1:7">
      <c r="A209" s="6" t="str">
        <f>IF(B209="","",_xlfn.XLOOKUP(B209,'All '!B:B,'All '!A:A,"No Found"))</f>
        <v/>
      </c>
      <c r="C209" s="6" t="str">
        <f>IF(B209="","",_xlfn.XLOOKUP($B209,'All '!B:B,'All '!C:C,"No Found"))</f>
        <v/>
      </c>
      <c r="D209" s="6" t="str">
        <f>IF(B209="","",COUNTIF($B$2:B209,B209))</f>
        <v/>
      </c>
      <c r="G209" s="6" t="str">
        <f>IF(F209="","Pending",IF(F209&lt;7,"Weekback","No Weekback"))</f>
        <v>Pending</v>
      </c>
    </row>
    <row r="210" spans="1:7">
      <c r="A210" s="6" t="str">
        <f>IF(B210="","",_xlfn.XLOOKUP(B210,'All '!B:B,'All '!A:A,"No Found"))</f>
        <v/>
      </c>
      <c r="C210" s="6" t="str">
        <f>IF(B210="","",_xlfn.XLOOKUP($B210,'All '!B:B,'All '!C:C,"No Found"))</f>
        <v/>
      </c>
      <c r="D210" s="6" t="str">
        <f>IF(B210="","",COUNTIF($B$2:B210,B210))</f>
        <v/>
      </c>
      <c r="G210" s="6" t="str">
        <f>IF(F210="","Pending",IF(F210&lt;7,"Weekback","No Weekback"))</f>
        <v>Pending</v>
      </c>
    </row>
    <row r="211" spans="1:7">
      <c r="A211" s="6" t="str">
        <f>IF(B211="","",_xlfn.XLOOKUP(B211,'All '!B:B,'All '!A:A,"No Found"))</f>
        <v/>
      </c>
      <c r="C211" s="6" t="str">
        <f>IF(B211="","",_xlfn.XLOOKUP($B211,'All '!B:B,'All '!C:C,"No Found"))</f>
        <v/>
      </c>
      <c r="D211" s="6" t="str">
        <f>IF(B211="","",COUNTIF($B$2:B211,B211))</f>
        <v/>
      </c>
      <c r="G211" s="6" t="str">
        <f>IF(F211="","Pending",IF(F211&lt;7,"Weekback","No Weekback"))</f>
        <v>Pending</v>
      </c>
    </row>
    <row r="212" spans="1:7">
      <c r="A212" s="6" t="str">
        <f>IF(B212="","",_xlfn.XLOOKUP(B212,'All '!B:B,'All '!A:A,"No Found"))</f>
        <v/>
      </c>
      <c r="C212" s="6" t="str">
        <f>IF(B212="","",_xlfn.XLOOKUP($B212,'All '!B:B,'All '!C:C,"No Found"))</f>
        <v/>
      </c>
      <c r="D212" s="6" t="str">
        <f>IF(B212="","",COUNTIF($B$2:B212,B212))</f>
        <v/>
      </c>
      <c r="G212" s="6" t="str">
        <f>IF(F212="","Pending",IF(F212&lt;7,"Weekback","No Weekback"))</f>
        <v>Pending</v>
      </c>
    </row>
    <row r="213" spans="1:7">
      <c r="A213" s="6" t="str">
        <f>IF(B213="","",_xlfn.XLOOKUP(B213,'All '!B:B,'All '!A:A,"No Found"))</f>
        <v/>
      </c>
      <c r="C213" s="6" t="str">
        <f>IF(B213="","",_xlfn.XLOOKUP($B213,'All '!B:B,'All '!C:C,"No Found"))</f>
        <v/>
      </c>
      <c r="D213" s="6" t="str">
        <f>IF(B213="","",COUNTIF($B$2:B213,B213))</f>
        <v/>
      </c>
      <c r="G213" s="6" t="str">
        <f>IF(F213="","Pending",IF(F213&lt;7,"Weekback","No Weekback"))</f>
        <v>Pending</v>
      </c>
    </row>
    <row r="214" spans="1:7">
      <c r="A214" s="6" t="str">
        <f>IF(B214="","",_xlfn.XLOOKUP(B214,'All '!B:B,'All '!A:A,"No Found"))</f>
        <v/>
      </c>
      <c r="C214" s="6" t="str">
        <f>IF(B214="","",_xlfn.XLOOKUP($B214,'All '!B:B,'All '!C:C,"No Found"))</f>
        <v/>
      </c>
      <c r="D214" s="6" t="str">
        <f>IF(B214="","",COUNTIF($B$2:B214,B214))</f>
        <v/>
      </c>
      <c r="G214" s="6" t="str">
        <f>IF(F214="","Pending",IF(F214&lt;7,"Weekback","No Weekback"))</f>
        <v>Pending</v>
      </c>
    </row>
    <row r="215" spans="1:7">
      <c r="A215" s="6" t="str">
        <f>IF(B215="","",_xlfn.XLOOKUP(B215,'All '!B:B,'All '!A:A,"No Found"))</f>
        <v/>
      </c>
      <c r="C215" s="6" t="str">
        <f>IF(B215="","",_xlfn.XLOOKUP($B215,'All '!B:B,'All '!C:C,"No Found"))</f>
        <v/>
      </c>
      <c r="D215" s="6" t="str">
        <f>IF(B215="","",COUNTIF($B$2:B215,B215))</f>
        <v/>
      </c>
      <c r="G215" s="6" t="str">
        <f>IF(F215="","Pending",IF(F215&lt;7,"Weekback","No Weekback"))</f>
        <v>Pending</v>
      </c>
    </row>
    <row r="216" spans="1:7">
      <c r="A216" s="6" t="str">
        <f>IF(B216="","",_xlfn.XLOOKUP(B216,'All '!B:B,'All '!A:A,"No Found"))</f>
        <v/>
      </c>
      <c r="C216" s="6" t="str">
        <f>IF(B216="","",_xlfn.XLOOKUP($B216,'All '!B:B,'All '!C:C,"No Found"))</f>
        <v/>
      </c>
      <c r="D216" s="6" t="str">
        <f>IF(B216="","",COUNTIF($B$2:B216,B216))</f>
        <v/>
      </c>
      <c r="G216" s="6" t="str">
        <f>IF(F216="","Pending",IF(F216&lt;7,"Weekback","No Weekback"))</f>
        <v>Pending</v>
      </c>
    </row>
    <row r="217" spans="1:7">
      <c r="A217" s="6" t="str">
        <f>IF(B217="","",_xlfn.XLOOKUP(B217,'All '!B:B,'All '!A:A,"No Found"))</f>
        <v/>
      </c>
      <c r="C217" s="6" t="str">
        <f>IF(B217="","",_xlfn.XLOOKUP($B217,'All '!B:B,'All '!C:C,"No Found"))</f>
        <v/>
      </c>
      <c r="D217" s="6" t="str">
        <f>IF(B217="","",COUNTIF($B$2:B217,B217))</f>
        <v/>
      </c>
      <c r="G217" s="6" t="str">
        <f>IF(F217="","Pending",IF(F217&lt;7,"Weekback","No Weekback"))</f>
        <v>Pending</v>
      </c>
    </row>
    <row r="218" spans="1:7">
      <c r="A218" s="6" t="str">
        <f>IF(B218="","",_xlfn.XLOOKUP(B218,'All '!B:B,'All '!A:A,"No Found"))</f>
        <v/>
      </c>
      <c r="C218" s="6" t="str">
        <f>IF(B218="","",_xlfn.XLOOKUP($B218,'All '!B:B,'All '!C:C,"No Found"))</f>
        <v/>
      </c>
      <c r="D218" s="6" t="str">
        <f>IF(B218="","",COUNTIF($B$2:B218,B218))</f>
        <v/>
      </c>
      <c r="G218" s="6" t="str">
        <f>IF(F218="","Pending",IF(F218&lt;7,"Weekback","No Weekback"))</f>
        <v>Pending</v>
      </c>
    </row>
    <row r="219" spans="1:7">
      <c r="A219" s="6" t="str">
        <f>IF(B219="","",_xlfn.XLOOKUP(B219,'All '!B:B,'All '!A:A,"No Found"))</f>
        <v/>
      </c>
      <c r="C219" s="6" t="str">
        <f>IF(B219="","",_xlfn.XLOOKUP($B219,'All '!B:B,'All '!C:C,"No Found"))</f>
        <v/>
      </c>
      <c r="D219" s="6" t="str">
        <f>IF(B219="","",COUNTIF($B$2:B219,B219))</f>
        <v/>
      </c>
      <c r="G219" s="6" t="str">
        <f>IF(F219="","Pending",IF(F219&lt;7,"Weekback","No Weekback"))</f>
        <v>Pending</v>
      </c>
    </row>
    <row r="220" spans="1:7">
      <c r="A220" s="6" t="str">
        <f>IF(B220="","",_xlfn.XLOOKUP(B220,'All '!B:B,'All '!A:A,"No Found"))</f>
        <v/>
      </c>
      <c r="C220" s="6" t="str">
        <f>IF(B220="","",_xlfn.XLOOKUP($B220,'All '!B:B,'All '!C:C,"No Found"))</f>
        <v/>
      </c>
      <c r="D220" s="6" t="str">
        <f>IF(B220="","",COUNTIF($B$2:B220,B220))</f>
        <v/>
      </c>
      <c r="G220" s="6" t="str">
        <f>IF(F220="","Pending",IF(F220&lt;7,"Weekback","No Weekback"))</f>
        <v>Pending</v>
      </c>
    </row>
    <row r="221" spans="1:7">
      <c r="A221" s="6" t="str">
        <f>IF(B221="","",_xlfn.XLOOKUP(B221,'All '!B:B,'All '!A:A,"No Found"))</f>
        <v/>
      </c>
      <c r="C221" s="6" t="str">
        <f>IF(B221="","",_xlfn.XLOOKUP($B221,'All '!B:B,'All '!C:C,"No Found"))</f>
        <v/>
      </c>
      <c r="D221" s="6" t="str">
        <f>IF(B221="","",COUNTIF($B$2:B221,B221))</f>
        <v/>
      </c>
      <c r="G221" s="6" t="str">
        <f>IF(F221="","Pending",IF(F221&lt;7,"Weekback","No Weekback"))</f>
        <v>Pending</v>
      </c>
    </row>
    <row r="222" spans="1:7">
      <c r="A222" s="6" t="str">
        <f>IF(B222="","",_xlfn.XLOOKUP(B222,'All '!B:B,'All '!A:A,"No Found"))</f>
        <v/>
      </c>
      <c r="C222" s="6" t="str">
        <f>IF(B222="","",_xlfn.XLOOKUP($B222,'All '!B:B,'All '!C:C,"No Found"))</f>
        <v/>
      </c>
      <c r="D222" s="6" t="str">
        <f>IF(B222="","",COUNTIF($B$2:B222,B222))</f>
        <v/>
      </c>
      <c r="G222" s="6" t="str">
        <f>IF(F222="","Pending",IF(F222&lt;7,"Weekback","No Weekback"))</f>
        <v>Pending</v>
      </c>
    </row>
    <row r="223" spans="1:7">
      <c r="A223" s="6" t="str">
        <f>IF(B223="","",_xlfn.XLOOKUP(B223,'All '!B:B,'All '!A:A,"No Found"))</f>
        <v/>
      </c>
      <c r="C223" s="6" t="str">
        <f>IF(B223="","",_xlfn.XLOOKUP($B223,'All '!B:B,'All '!C:C,"No Found"))</f>
        <v/>
      </c>
      <c r="D223" s="6" t="str">
        <f>IF(B223="","",COUNTIF($B$2:B223,B223))</f>
        <v/>
      </c>
      <c r="G223" s="6" t="str">
        <f>IF(F223="","Pending",IF(F223&lt;7,"Weekback","No Weekback"))</f>
        <v>Pending</v>
      </c>
    </row>
    <row r="224" spans="1:7">
      <c r="A224" s="6" t="str">
        <f>IF(B224="","",_xlfn.XLOOKUP(B224,'All '!B:B,'All '!A:A,"No Found"))</f>
        <v/>
      </c>
      <c r="C224" s="6" t="str">
        <f>IF(B224="","",_xlfn.XLOOKUP($B224,'All '!B:B,'All '!C:C,"No Found"))</f>
        <v/>
      </c>
      <c r="D224" s="6" t="str">
        <f>IF(B224="","",COUNTIF($B$2:B224,B224))</f>
        <v/>
      </c>
      <c r="G224" s="6" t="str">
        <f>IF(F224="","Pending",IF(F224&lt;7,"Weekback","No Weekback"))</f>
        <v>Pending</v>
      </c>
    </row>
    <row r="225" spans="1:7">
      <c r="A225" s="6" t="str">
        <f>IF(B225="","",_xlfn.XLOOKUP(B225,'All '!B:B,'All '!A:A,"No Found"))</f>
        <v/>
      </c>
      <c r="C225" s="6" t="str">
        <f>IF(B225="","",_xlfn.XLOOKUP($B225,'All '!B:B,'All '!C:C,"No Found"))</f>
        <v/>
      </c>
      <c r="D225" s="6" t="str">
        <f>IF(B225="","",COUNTIF($B$2:B225,B225))</f>
        <v/>
      </c>
      <c r="G225" s="6" t="str">
        <f>IF(F225="","Pending",IF(F225&lt;7,"Weekback","No Weekback"))</f>
        <v>Pending</v>
      </c>
    </row>
    <row r="226" spans="1:7">
      <c r="A226" s="6" t="str">
        <f>IF(B226="","",_xlfn.XLOOKUP(B226,'All '!B:B,'All '!A:A,"No Found"))</f>
        <v/>
      </c>
      <c r="C226" s="6" t="str">
        <f>IF(B226="","",_xlfn.XLOOKUP($B226,'All '!B:B,'All '!C:C,"No Found"))</f>
        <v/>
      </c>
      <c r="D226" s="6" t="str">
        <f>IF(B226="","",COUNTIF($B$2:B226,B226))</f>
        <v/>
      </c>
      <c r="G226" s="6" t="str">
        <f>IF(F226="","Pending",IF(F226&lt;7,"Weekback","No Weekback"))</f>
        <v>Pending</v>
      </c>
    </row>
    <row r="227" spans="1:7">
      <c r="A227" s="6" t="str">
        <f>IF(B227="","",_xlfn.XLOOKUP(B227,'All '!B:B,'All '!A:A,"No Found"))</f>
        <v/>
      </c>
      <c r="C227" s="6" t="str">
        <f>IF(B227="","",_xlfn.XLOOKUP($B227,'All '!B:B,'All '!C:C,"No Found"))</f>
        <v/>
      </c>
      <c r="D227" s="6" t="str">
        <f>IF(B227="","",COUNTIF($B$2:B227,B227))</f>
        <v/>
      </c>
      <c r="G227" s="6" t="str">
        <f>IF(F227="","Pending",IF(F227&lt;7,"Weekback","No Weekback"))</f>
        <v>Pending</v>
      </c>
    </row>
    <row r="228" spans="1:7">
      <c r="A228" s="6" t="str">
        <f>IF(B228="","",_xlfn.XLOOKUP(B228,'All '!B:B,'All '!A:A,"No Found"))</f>
        <v/>
      </c>
      <c r="C228" s="6" t="str">
        <f>IF(B228="","",_xlfn.XLOOKUP($B228,'All '!B:B,'All '!C:C,"No Found"))</f>
        <v/>
      </c>
      <c r="D228" s="6" t="str">
        <f>IF(B228="","",COUNTIF($B$2:B228,B228))</f>
        <v/>
      </c>
      <c r="G228" s="6" t="str">
        <f>IF(F228="","Pending",IF(F228&lt;7,"Weekback","No Weekback"))</f>
        <v>Pending</v>
      </c>
    </row>
    <row r="229" spans="1:7">
      <c r="A229" s="6" t="str">
        <f>IF(B229="","",_xlfn.XLOOKUP(B229,'All '!B:B,'All '!A:A,"No Found"))</f>
        <v/>
      </c>
      <c r="C229" s="6" t="str">
        <f>IF(B229="","",_xlfn.XLOOKUP($B229,'All '!B:B,'All '!C:C,"No Found"))</f>
        <v/>
      </c>
      <c r="D229" s="6" t="str">
        <f>IF(B229="","",COUNTIF($B$2:B229,B229))</f>
        <v/>
      </c>
      <c r="G229" s="6" t="str">
        <f>IF(F229="","Pending",IF(F229&lt;7,"Weekback","No Weekback"))</f>
        <v>Pending</v>
      </c>
    </row>
    <row r="230" spans="1:7">
      <c r="A230" s="6" t="str">
        <f>IF(B230="","",_xlfn.XLOOKUP(B230,'All '!B:B,'All '!A:A,"No Found"))</f>
        <v/>
      </c>
      <c r="C230" s="6" t="str">
        <f>IF(B230="","",_xlfn.XLOOKUP($B230,'All '!B:B,'All '!C:C,"No Found"))</f>
        <v/>
      </c>
      <c r="D230" s="6" t="str">
        <f>IF(B230="","",COUNTIF($B$2:B230,B230))</f>
        <v/>
      </c>
      <c r="G230" s="6" t="str">
        <f>IF(F230="","Pending",IF(F230&lt;7,"Weekback","No Weekback"))</f>
        <v>Pending</v>
      </c>
    </row>
    <row r="231" spans="1:7">
      <c r="A231" s="6" t="str">
        <f>IF(B231="","",_xlfn.XLOOKUP(B231,'All '!B:B,'All '!A:A,"No Found"))</f>
        <v/>
      </c>
      <c r="C231" s="6" t="str">
        <f>IF(B231="","",_xlfn.XLOOKUP($B231,'All '!B:B,'All '!C:C,"No Found"))</f>
        <v/>
      </c>
      <c r="D231" s="6" t="str">
        <f>IF(B231="","",COUNTIF($B$2:B231,B231))</f>
        <v/>
      </c>
      <c r="G231" s="6" t="str">
        <f>IF(F231="","Pending",IF(F231&lt;7,"Weekback","No Weekback"))</f>
        <v>Pending</v>
      </c>
    </row>
    <row r="232" spans="1:7">
      <c r="A232" s="6" t="str">
        <f>IF(B232="","",_xlfn.XLOOKUP(B232,'All '!B:B,'All '!A:A,"No Found"))</f>
        <v/>
      </c>
      <c r="C232" s="6" t="str">
        <f>IF(B232="","",_xlfn.XLOOKUP($B232,'All '!B:B,'All '!C:C,"No Found"))</f>
        <v/>
      </c>
      <c r="D232" s="6" t="str">
        <f>IF(B232="","",COUNTIF($B$2:B232,B232))</f>
        <v/>
      </c>
      <c r="G232" s="6" t="str">
        <f>IF(F232="","Pending",IF(F232&lt;7,"Weekback","No Weekback"))</f>
        <v>Pending</v>
      </c>
    </row>
    <row r="233" spans="1:7">
      <c r="A233" s="6" t="str">
        <f>IF(B233="","",_xlfn.XLOOKUP(B233,'All '!B:B,'All '!A:A,"No Found"))</f>
        <v/>
      </c>
      <c r="C233" s="6" t="str">
        <f>IF(B233="","",_xlfn.XLOOKUP($B233,'All '!B:B,'All '!C:C,"No Found"))</f>
        <v/>
      </c>
      <c r="D233" s="6" t="str">
        <f>IF(B233="","",COUNTIF($B$2:B233,B233))</f>
        <v/>
      </c>
      <c r="G233" s="6" t="str">
        <f>IF(F233="","Pending",IF(F233&lt;7,"Weekback","No Weekback"))</f>
        <v>Pending</v>
      </c>
    </row>
    <row r="234" spans="1:7">
      <c r="A234" s="6" t="str">
        <f>IF(B234="","",_xlfn.XLOOKUP(B234,'All '!B:B,'All '!A:A,"No Found"))</f>
        <v/>
      </c>
      <c r="C234" s="6" t="str">
        <f>IF(B234="","",_xlfn.XLOOKUP($B234,'All '!B:B,'All '!C:C,"No Found"))</f>
        <v/>
      </c>
      <c r="D234" s="6" t="str">
        <f>IF(B234="","",COUNTIF($B$2:B234,B234))</f>
        <v/>
      </c>
      <c r="G234" s="6" t="str">
        <f>IF(F234="","Pending",IF(F234&lt;7,"Weekback","No Weekback"))</f>
        <v>Pending</v>
      </c>
    </row>
    <row r="235" spans="1:7">
      <c r="A235" s="6" t="str">
        <f>IF(B235="","",_xlfn.XLOOKUP(B235,'All '!B:B,'All '!A:A,"No Found"))</f>
        <v/>
      </c>
      <c r="C235" s="6" t="str">
        <f>IF(B235="","",_xlfn.XLOOKUP($B235,'All '!B:B,'All '!C:C,"No Found"))</f>
        <v/>
      </c>
      <c r="D235" s="6" t="str">
        <f>IF(B235="","",COUNTIF($B$2:B235,B235))</f>
        <v/>
      </c>
      <c r="G235" s="6" t="str">
        <f>IF(F235="","Pending",IF(F235&lt;7,"Weekback","No Weekback"))</f>
        <v>Pending</v>
      </c>
    </row>
    <row r="236" spans="1:7">
      <c r="A236" s="6" t="str">
        <f>IF(B236="","",_xlfn.XLOOKUP(B236,'All '!B:B,'All '!A:A,"No Found"))</f>
        <v/>
      </c>
      <c r="C236" s="6" t="str">
        <f>IF(B236="","",_xlfn.XLOOKUP($B236,'All '!B:B,'All '!C:C,"No Found"))</f>
        <v/>
      </c>
      <c r="D236" s="6" t="str">
        <f>IF(B236="","",COUNTIF($B$2:B236,B236))</f>
        <v/>
      </c>
      <c r="G236" s="6" t="str">
        <f>IF(F236="","Pending",IF(F236&lt;7,"Weekback","No Weekback"))</f>
        <v>Pending</v>
      </c>
    </row>
    <row r="237" spans="1:7">
      <c r="A237" s="6" t="str">
        <f>IF(B237="","",_xlfn.XLOOKUP(B237,'All '!B:B,'All '!A:A,"No Found"))</f>
        <v/>
      </c>
      <c r="C237" s="6" t="str">
        <f>IF(B237="","",_xlfn.XLOOKUP($B237,'All '!B:B,'All '!C:C,"No Found"))</f>
        <v/>
      </c>
      <c r="D237" s="6" t="str">
        <f>IF(B237="","",COUNTIF($B$2:B237,B237))</f>
        <v/>
      </c>
      <c r="G237" s="6" t="str">
        <f>IF(F237="","Pending",IF(F237&lt;7,"Weekback","No Weekback"))</f>
        <v>Pending</v>
      </c>
    </row>
    <row r="238" spans="1:7">
      <c r="A238" s="6" t="str">
        <f>IF(B238="","",_xlfn.XLOOKUP(B238,'All '!B:B,'All '!A:A,"No Found"))</f>
        <v/>
      </c>
      <c r="C238" s="6" t="str">
        <f>IF(B238="","",_xlfn.XLOOKUP($B238,'All '!B:B,'All '!C:C,"No Found"))</f>
        <v/>
      </c>
      <c r="D238" s="6" t="str">
        <f>IF(B238="","",COUNTIF($B$2:B238,B238))</f>
        <v/>
      </c>
      <c r="G238" s="6" t="str">
        <f>IF(F238="","Pending",IF(F238&lt;7,"Weekback","No Weekback"))</f>
        <v>Pending</v>
      </c>
    </row>
    <row r="239" spans="1:7">
      <c r="A239" s="6" t="str">
        <f>IF(B239="","",_xlfn.XLOOKUP(B239,'All '!B:B,'All '!A:A,"No Found"))</f>
        <v/>
      </c>
      <c r="C239" s="6" t="str">
        <f>IF(B239="","",_xlfn.XLOOKUP($B239,'All '!B:B,'All '!C:C,"No Found"))</f>
        <v/>
      </c>
      <c r="D239" s="6" t="str">
        <f>IF(B239="","",COUNTIF($B$2:B239,B239))</f>
        <v/>
      </c>
      <c r="G239" s="6" t="str">
        <f>IF(F239="","Pending",IF(F239&lt;7,"Weekback","No Weekback"))</f>
        <v>Pending</v>
      </c>
    </row>
    <row r="240" spans="1:7">
      <c r="A240" s="6" t="str">
        <f>IF(B240="","",_xlfn.XLOOKUP(B240,'All '!B:B,'All '!A:A,"No Found"))</f>
        <v/>
      </c>
      <c r="C240" s="6" t="str">
        <f>IF(B240="","",_xlfn.XLOOKUP($B240,'All '!B:B,'All '!C:C,"No Found"))</f>
        <v/>
      </c>
      <c r="D240" s="6" t="str">
        <f>IF(B240="","",COUNTIF($B$2:B240,B240))</f>
        <v/>
      </c>
      <c r="G240" s="6" t="str">
        <f>IF(F240="","Pending",IF(F240&lt;7,"Weekback","No Weekback"))</f>
        <v>Pending</v>
      </c>
    </row>
    <row r="241" spans="1:7">
      <c r="A241" s="6" t="str">
        <f>IF(B241="","",_xlfn.XLOOKUP(B241,'All '!B:B,'All '!A:A,"No Found"))</f>
        <v/>
      </c>
      <c r="C241" s="6" t="str">
        <f>IF(B241="","",_xlfn.XLOOKUP($B241,'All '!B:B,'All '!C:C,"No Found"))</f>
        <v/>
      </c>
      <c r="D241" s="6" t="str">
        <f>IF(B241="","",COUNTIF($B$2:B241,B241))</f>
        <v/>
      </c>
      <c r="G241" s="6" t="str">
        <f>IF(F241="","Pending",IF(F241&lt;7,"Weekback","No Weekback"))</f>
        <v>Pending</v>
      </c>
    </row>
    <row r="242" spans="1:7">
      <c r="A242" s="6" t="str">
        <f>IF(B242="","",_xlfn.XLOOKUP(B242,'All '!B:B,'All '!A:A,"No Found"))</f>
        <v/>
      </c>
      <c r="C242" s="6" t="str">
        <f>IF(B242="","",_xlfn.XLOOKUP($B242,'All '!B:B,'All '!C:C,"No Found"))</f>
        <v/>
      </c>
      <c r="D242" s="6" t="str">
        <f>IF(B242="","",COUNTIF($B$2:B242,B242))</f>
        <v/>
      </c>
      <c r="G242" s="6" t="str">
        <f>IF(F242="","Pending",IF(F242&lt;7,"Weekback","No Weekback"))</f>
        <v>Pending</v>
      </c>
    </row>
    <row r="243" spans="1:7">
      <c r="A243" s="6" t="str">
        <f>IF(B243="","",_xlfn.XLOOKUP(B243,'All '!B:B,'All '!A:A,"No Found"))</f>
        <v/>
      </c>
      <c r="C243" s="6" t="str">
        <f>IF(B243="","",_xlfn.XLOOKUP($B243,'All '!B:B,'All '!C:C,"No Found"))</f>
        <v/>
      </c>
      <c r="D243" s="6" t="str">
        <f>IF(B243="","",COUNTIF($B$2:B243,B243))</f>
        <v/>
      </c>
      <c r="G243" s="6" t="str">
        <f>IF(F243="","Pending",IF(F243&lt;7,"Weekback","No Weekback"))</f>
        <v>Pending</v>
      </c>
    </row>
    <row r="244" spans="1:7">
      <c r="A244" s="6" t="str">
        <f>IF(B244="","",_xlfn.XLOOKUP(B244,'All '!B:B,'All '!A:A,"No Found"))</f>
        <v/>
      </c>
      <c r="C244" s="6" t="str">
        <f>IF(B244="","",_xlfn.XLOOKUP($B244,'All '!B:B,'All '!C:C,"No Found"))</f>
        <v/>
      </c>
      <c r="D244" s="6" t="str">
        <f>IF(B244="","",COUNTIF($B$2:B244,B244))</f>
        <v/>
      </c>
      <c r="G244" s="6" t="str">
        <f>IF(F244="","Pending",IF(F244&lt;7,"Weekback","No Weekback"))</f>
        <v>Pending</v>
      </c>
    </row>
    <row r="245" spans="1:7">
      <c r="A245" s="6" t="str">
        <f>IF(B245="","",_xlfn.XLOOKUP(B245,'All '!B:B,'All '!A:A,"No Found"))</f>
        <v/>
      </c>
      <c r="C245" s="6" t="str">
        <f>IF(B245="","",_xlfn.XLOOKUP($B245,'All '!B:B,'All '!C:C,"No Found"))</f>
        <v/>
      </c>
      <c r="D245" s="6" t="str">
        <f>IF(B245="","",COUNTIF($B$2:B245,B245))</f>
        <v/>
      </c>
      <c r="G245" s="6" t="str">
        <f>IF(F245="","Pending",IF(F245&lt;7,"Weekback","No Weekback"))</f>
        <v>Pending</v>
      </c>
    </row>
    <row r="246" spans="1:7">
      <c r="A246" s="6" t="str">
        <f>IF(B246="","",_xlfn.XLOOKUP(B246,'All '!B:B,'All '!A:A,"No Found"))</f>
        <v/>
      </c>
      <c r="C246" s="6" t="str">
        <f>IF(B246="","",_xlfn.XLOOKUP($B246,'All '!B:B,'All '!C:C,"No Found"))</f>
        <v/>
      </c>
      <c r="D246" s="6" t="str">
        <f>IF(B246="","",COUNTIF($B$2:B246,B246))</f>
        <v/>
      </c>
      <c r="G246" s="6" t="str">
        <f>IF(F246="","Pending",IF(F246&lt;7,"Weekback","No Weekback"))</f>
        <v>Pending</v>
      </c>
    </row>
    <row r="247" spans="1:7">
      <c r="A247" s="6" t="str">
        <f>IF(B247="","",_xlfn.XLOOKUP(B247,'All '!B:B,'All '!A:A,"No Found"))</f>
        <v/>
      </c>
      <c r="C247" s="6" t="str">
        <f>IF(B247="","",_xlfn.XLOOKUP($B247,'All '!B:B,'All '!C:C,"No Found"))</f>
        <v/>
      </c>
      <c r="D247" s="6" t="str">
        <f>IF(B247="","",COUNTIF($B$2:B247,B247))</f>
        <v/>
      </c>
      <c r="G247" s="6" t="str">
        <f>IF(F247="","Pending",IF(F247&lt;7,"Weekback","No Weekback"))</f>
        <v>Pending</v>
      </c>
    </row>
    <row r="248" spans="1:7">
      <c r="A248" s="6" t="str">
        <f>IF(B248="","",_xlfn.XLOOKUP(B248,'All '!B:B,'All '!A:A,"No Found"))</f>
        <v/>
      </c>
      <c r="C248" s="6" t="str">
        <f>IF(B248="","",_xlfn.XLOOKUP($B248,'All '!B:B,'All '!C:C,"No Found"))</f>
        <v/>
      </c>
      <c r="D248" s="6" t="str">
        <f>IF(B248="","",COUNTIF($B$2:B248,B248))</f>
        <v/>
      </c>
      <c r="G248" s="6" t="str">
        <f>IF(F248="","Pending",IF(F248&lt;7,"Weekback","No Weekback"))</f>
        <v>Pending</v>
      </c>
    </row>
    <row r="249" spans="1:7">
      <c r="A249" s="6" t="str">
        <f>IF(B249="","",_xlfn.XLOOKUP(B249,'All '!B:B,'All '!A:A,"No Found"))</f>
        <v/>
      </c>
      <c r="C249" s="6" t="str">
        <f>IF(B249="","",_xlfn.XLOOKUP($B249,'All '!B:B,'All '!C:C,"No Found"))</f>
        <v/>
      </c>
      <c r="D249" s="6" t="str">
        <f>IF(B249="","",COUNTIF($B$2:B249,B249))</f>
        <v/>
      </c>
      <c r="G249" s="6" t="str">
        <f>IF(F249="","Pending",IF(F249&lt;7,"Weekback","No Weekback"))</f>
        <v>Pending</v>
      </c>
    </row>
    <row r="250" spans="1:7">
      <c r="A250" s="6" t="str">
        <f>IF(B250="","",_xlfn.XLOOKUP(B250,'All '!B:B,'All '!A:A,"No Found"))</f>
        <v/>
      </c>
      <c r="C250" s="6" t="str">
        <f>IF(B250="","",_xlfn.XLOOKUP($B250,'All '!B:B,'All '!C:C,"No Found"))</f>
        <v/>
      </c>
      <c r="D250" s="6" t="str">
        <f>IF(B250="","",COUNTIF($B$2:B250,B250))</f>
        <v/>
      </c>
      <c r="G250" s="6" t="str">
        <f>IF(F250="","Pending",IF(F250&lt;7,"Weekback","No Weekback"))</f>
        <v>Pending</v>
      </c>
    </row>
    <row r="251" spans="1:7">
      <c r="A251" s="6" t="str">
        <f>IF(B251="","",_xlfn.XLOOKUP(B251,'All '!B:B,'All '!A:A,"No Found"))</f>
        <v/>
      </c>
      <c r="C251" s="6" t="str">
        <f>IF(B251="","",_xlfn.XLOOKUP($B251,'All '!B:B,'All '!C:C,"No Found"))</f>
        <v/>
      </c>
      <c r="D251" s="6" t="str">
        <f>IF(B251="","",COUNTIF($B$2:B251,B251))</f>
        <v/>
      </c>
      <c r="G251" s="6" t="str">
        <f>IF(F251="","Pending",IF(F251&lt;7,"Weekback","No Weekback"))</f>
        <v>Pending</v>
      </c>
    </row>
    <row r="252" spans="1:7">
      <c r="A252" s="6" t="str">
        <f>IF(B252="","",_xlfn.XLOOKUP(B252,'All '!B:B,'All '!A:A,"No Found"))</f>
        <v/>
      </c>
      <c r="C252" s="6" t="str">
        <f>IF(B252="","",_xlfn.XLOOKUP($B252,'All '!B:B,'All '!C:C,"No Found"))</f>
        <v/>
      </c>
      <c r="D252" s="6" t="str">
        <f>IF(B252="","",COUNTIF($B$2:B252,B252))</f>
        <v/>
      </c>
      <c r="G252" s="6" t="str">
        <f>IF(F252="","Pending",IF(F252&lt;7,"Weekback","No Weekback"))</f>
        <v>Pending</v>
      </c>
    </row>
    <row r="253" spans="1:7">
      <c r="A253" s="6" t="str">
        <f>IF(B253="","",_xlfn.XLOOKUP(B253,'All '!B:B,'All '!A:A,"No Found"))</f>
        <v/>
      </c>
      <c r="C253" s="6" t="str">
        <f>IF(B253="","",_xlfn.XLOOKUP($B253,'All '!B:B,'All '!C:C,"No Found"))</f>
        <v/>
      </c>
      <c r="D253" s="6" t="str">
        <f>IF(B253="","",COUNTIF($B$2:B253,B253))</f>
        <v/>
      </c>
      <c r="G253" s="6" t="str">
        <f>IF(F253="","Pending",IF(F253&lt;7,"Weekback","No Weekback"))</f>
        <v>Pending</v>
      </c>
    </row>
    <row r="254" spans="1:7">
      <c r="A254" s="6" t="str">
        <f>IF(B254="","",_xlfn.XLOOKUP(B254,'All '!B:B,'All '!A:A,"No Found"))</f>
        <v/>
      </c>
      <c r="C254" s="6" t="str">
        <f>IF(B254="","",_xlfn.XLOOKUP($B254,'All '!B:B,'All '!C:C,"No Found"))</f>
        <v/>
      </c>
      <c r="D254" s="6" t="str">
        <f>IF(B254="","",COUNTIF($B$2:B254,B254))</f>
        <v/>
      </c>
      <c r="G254" s="6" t="str">
        <f>IF(F254="","Pending",IF(F254&lt;7,"Weekback","No Weekback"))</f>
        <v>Pending</v>
      </c>
    </row>
    <row r="255" spans="1:7">
      <c r="A255" s="6" t="str">
        <f>IF(B255="","",_xlfn.XLOOKUP(B255,'All '!B:B,'All '!A:A,"No Found"))</f>
        <v/>
      </c>
      <c r="C255" s="6" t="str">
        <f>IF(B255="","",_xlfn.XLOOKUP($B255,'All '!B:B,'All '!C:C,"No Found"))</f>
        <v/>
      </c>
      <c r="D255" s="6" t="str">
        <f>IF(B255="","",COUNTIF($B$2:B255,B255))</f>
        <v/>
      </c>
      <c r="G255" s="6" t="str">
        <f>IF(F255="","Pending",IF(F255&lt;7,"Weekback","No Weekback"))</f>
        <v>Pending</v>
      </c>
    </row>
    <row r="256" spans="1:7">
      <c r="A256" s="6" t="str">
        <f>IF(B256="","",_xlfn.XLOOKUP(B256,'All '!B:B,'All '!A:A,"No Found"))</f>
        <v/>
      </c>
      <c r="C256" s="6" t="str">
        <f>IF(B256="","",_xlfn.XLOOKUP($B256,'All '!B:B,'All '!C:C,"No Found"))</f>
        <v/>
      </c>
      <c r="D256" s="6" t="str">
        <f>IF(B256="","",COUNTIF($B$2:B256,B256))</f>
        <v/>
      </c>
      <c r="G256" s="6" t="str">
        <f>IF(F256="","Pending",IF(F256&lt;7,"Weekback","No Weekback"))</f>
        <v>Pending</v>
      </c>
    </row>
    <row r="257" spans="1:7">
      <c r="A257" s="6" t="str">
        <f>IF(B257="","",_xlfn.XLOOKUP(B257,'All '!B:B,'All '!A:A,"No Found"))</f>
        <v/>
      </c>
      <c r="C257" s="6" t="str">
        <f>IF(B257="","",_xlfn.XLOOKUP($B257,'All '!B:B,'All '!C:C,"No Found"))</f>
        <v/>
      </c>
      <c r="D257" s="6" t="str">
        <f>IF(B257="","",COUNTIF($B$2:B257,B257))</f>
        <v/>
      </c>
      <c r="G257" s="6" t="str">
        <f>IF(F257="","Pending",IF(F257&lt;7,"Weekback","No Weekback"))</f>
        <v>Pending</v>
      </c>
    </row>
    <row r="258" spans="1:7">
      <c r="A258" s="6" t="str">
        <f>IF(B258="","",_xlfn.XLOOKUP(B258,'All '!B:B,'All '!A:A,"No Found"))</f>
        <v/>
      </c>
      <c r="C258" s="6" t="str">
        <f>IF(B258="","",_xlfn.XLOOKUP($B258,'All '!B:B,'All '!C:C,"No Found"))</f>
        <v/>
      </c>
      <c r="D258" s="6" t="str">
        <f>IF(B258="","",COUNTIF($B$2:B258,B258))</f>
        <v/>
      </c>
      <c r="G258" s="6" t="str">
        <f>IF(F258="","Pending",IF(F258&lt;7,"Weekback","No Weekback"))</f>
        <v>Pending</v>
      </c>
    </row>
    <row r="259" spans="1:7">
      <c r="A259" s="6" t="str">
        <f>IF(B259="","",_xlfn.XLOOKUP(B259,'All '!B:B,'All '!A:A,"No Found"))</f>
        <v/>
      </c>
      <c r="C259" s="6" t="str">
        <f>IF(B259="","",_xlfn.XLOOKUP($B259,'All '!B:B,'All '!C:C,"No Found"))</f>
        <v/>
      </c>
      <c r="D259" s="6" t="str">
        <f>IF(B259="","",COUNTIF($B$2:B259,B259))</f>
        <v/>
      </c>
      <c r="G259" s="6" t="str">
        <f>IF(F259="","Pending",IF(F259&lt;7,"Weekback","No Weekback"))</f>
        <v>Pending</v>
      </c>
    </row>
    <row r="260" spans="1:7">
      <c r="A260" s="6" t="str">
        <f>IF(B260="","",_xlfn.XLOOKUP(B260,'All '!B:B,'All '!A:A,"No Found"))</f>
        <v/>
      </c>
      <c r="C260" s="6" t="str">
        <f>IF(B260="","",_xlfn.XLOOKUP($B260,'All '!B:B,'All '!C:C,"No Found"))</f>
        <v/>
      </c>
      <c r="D260" s="6" t="str">
        <f>IF(B260="","",COUNTIF($B$2:B260,B260))</f>
        <v/>
      </c>
      <c r="G260" s="6" t="str">
        <f>IF(F260="","Pending",IF(F260&lt;7,"Weekback","No Weekback"))</f>
        <v>Pending</v>
      </c>
    </row>
    <row r="261" spans="1:7">
      <c r="A261" s="6" t="str">
        <f>IF(B261="","",_xlfn.XLOOKUP(B261,'All '!B:B,'All '!A:A,"No Found"))</f>
        <v/>
      </c>
      <c r="C261" s="6" t="str">
        <f>IF(B261="","",_xlfn.XLOOKUP($B261,'All '!B:B,'All '!C:C,"No Found"))</f>
        <v/>
      </c>
      <c r="D261" s="6" t="str">
        <f>IF(B261="","",COUNTIF($B$2:B261,B261))</f>
        <v/>
      </c>
      <c r="G261" s="6" t="str">
        <f>IF(F261="","Pending",IF(F261&lt;7,"Weekback","No Weekback"))</f>
        <v>Pending</v>
      </c>
    </row>
    <row r="262" spans="1:7">
      <c r="A262" s="6" t="str">
        <f>IF(B262="","",_xlfn.XLOOKUP(B262,'All '!B:B,'All '!A:A,"No Found"))</f>
        <v/>
      </c>
      <c r="C262" s="6" t="str">
        <f>IF(B262="","",_xlfn.XLOOKUP($B262,'All '!B:B,'All '!C:C,"No Found"))</f>
        <v/>
      </c>
      <c r="D262" s="6" t="str">
        <f>IF(B262="","",COUNTIF($B$2:B262,B262))</f>
        <v/>
      </c>
      <c r="G262" s="6" t="str">
        <f>IF(F262="","Pending",IF(F262&lt;7,"Weekback","No Weekback"))</f>
        <v>Pending</v>
      </c>
    </row>
    <row r="263" spans="1:7">
      <c r="A263" s="6" t="str">
        <f>IF(B263="","",_xlfn.XLOOKUP(B263,'All '!B:B,'All '!A:A,"No Found"))</f>
        <v/>
      </c>
      <c r="C263" s="6" t="str">
        <f>IF(B263="","",_xlfn.XLOOKUP($B263,'All '!B:B,'All '!C:C,"No Found"))</f>
        <v/>
      </c>
      <c r="D263" s="6" t="str">
        <f>IF(B263="","",COUNTIF($B$2:B263,B263))</f>
        <v/>
      </c>
      <c r="G263" s="6" t="str">
        <f>IF(F263="","Pending",IF(F263&lt;7,"Weekback","No Weekback"))</f>
        <v>Pending</v>
      </c>
    </row>
    <row r="264" spans="1:7">
      <c r="A264" s="6" t="str">
        <f>IF(B264="","",_xlfn.XLOOKUP(B264,'All '!B:B,'All '!A:A,"No Found"))</f>
        <v/>
      </c>
      <c r="C264" s="6" t="str">
        <f>IF(B264="","",_xlfn.XLOOKUP($B264,'All '!B:B,'All '!C:C,"No Found"))</f>
        <v/>
      </c>
      <c r="D264" s="6" t="str">
        <f>IF(B264="","",COUNTIF($B$2:B264,B264))</f>
        <v/>
      </c>
      <c r="G264" s="6" t="str">
        <f>IF(F264="","Pending",IF(F264&lt;7,"Weekback","No Weekback"))</f>
        <v>Pending</v>
      </c>
    </row>
    <row r="265" spans="1:7">
      <c r="A265" s="6" t="str">
        <f>IF(B265="","",_xlfn.XLOOKUP(B265,'All '!B:B,'All '!A:A,"No Found"))</f>
        <v/>
      </c>
      <c r="C265" s="6" t="str">
        <f>IF(B265="","",_xlfn.XLOOKUP($B265,'All '!B:B,'All '!C:C,"No Found"))</f>
        <v/>
      </c>
      <c r="D265" s="6" t="str">
        <f>IF(B265="","",COUNTIF($B$2:B265,B265))</f>
        <v/>
      </c>
      <c r="G265" s="6" t="str">
        <f>IF(F265="","Pending",IF(F265&lt;7,"Weekback","No Weekback"))</f>
        <v>Pending</v>
      </c>
    </row>
    <row r="266" spans="1:7">
      <c r="A266" s="6" t="str">
        <f>IF(B266="","",_xlfn.XLOOKUP(B266,'All '!B:B,'All '!A:A,"No Found"))</f>
        <v/>
      </c>
      <c r="C266" s="6" t="str">
        <f>IF(B266="","",_xlfn.XLOOKUP($B266,'All '!B:B,'All '!C:C,"No Found"))</f>
        <v/>
      </c>
      <c r="D266" s="6" t="str">
        <f>IF(B266="","",COUNTIF($B$2:B266,B266))</f>
        <v/>
      </c>
      <c r="G266" s="6" t="str">
        <f>IF(F266="","Pending",IF(F266&lt;7,"Weekback","No Weekback"))</f>
        <v>Pending</v>
      </c>
    </row>
    <row r="267" spans="1:7">
      <c r="A267" s="6" t="str">
        <f>IF(B267="","",_xlfn.XLOOKUP(B267,'All '!B:B,'All '!A:A,"No Found"))</f>
        <v/>
      </c>
      <c r="C267" s="6" t="str">
        <f>IF(B267="","",_xlfn.XLOOKUP($B267,'All '!B:B,'All '!C:C,"No Found"))</f>
        <v/>
      </c>
      <c r="D267" s="6" t="str">
        <f>IF(B267="","",COUNTIF($B$2:B267,B267))</f>
        <v/>
      </c>
      <c r="G267" s="6" t="str">
        <f>IF(F267="","Pending",IF(F267&lt;7,"Weekback","No Weekback"))</f>
        <v>Pending</v>
      </c>
    </row>
    <row r="268" spans="1:7">
      <c r="A268" s="6" t="str">
        <f>IF(B268="","",_xlfn.XLOOKUP(B268,'All '!B:B,'All '!A:A,"No Found"))</f>
        <v/>
      </c>
      <c r="C268" s="6" t="str">
        <f>IF(B268="","",_xlfn.XLOOKUP($B268,'All '!B:B,'All '!C:C,"No Found"))</f>
        <v/>
      </c>
      <c r="D268" s="6" t="str">
        <f>IF(B268="","",COUNTIF($B$2:B268,B268))</f>
        <v/>
      </c>
      <c r="G268" s="6" t="str">
        <f>IF(F268="","Pending",IF(F268&lt;7,"Weekback","No Weekback"))</f>
        <v>Pending</v>
      </c>
    </row>
    <row r="269" spans="1:7">
      <c r="A269" s="6" t="str">
        <f>IF(B269="","",_xlfn.XLOOKUP(B269,'All '!B:B,'All '!A:A,"No Found"))</f>
        <v/>
      </c>
      <c r="C269" s="6" t="str">
        <f>IF(B269="","",_xlfn.XLOOKUP($B269,'All '!B:B,'All '!C:C,"No Found"))</f>
        <v/>
      </c>
      <c r="D269" s="6" t="str">
        <f>IF(B269="","",COUNTIF($B$2:B269,B269))</f>
        <v/>
      </c>
      <c r="G269" s="6" t="str">
        <f>IF(F269="","Pending",IF(F269&lt;7,"Weekback","No Weekback"))</f>
        <v>Pending</v>
      </c>
    </row>
    <row r="270" spans="1:7">
      <c r="A270" s="6" t="str">
        <f>IF(B270="","",_xlfn.XLOOKUP(B270,'All '!B:B,'All '!A:A,"No Found"))</f>
        <v/>
      </c>
      <c r="C270" s="6" t="str">
        <f>IF(B270="","",_xlfn.XLOOKUP($B270,'All '!B:B,'All '!C:C,"No Found"))</f>
        <v/>
      </c>
      <c r="D270" s="6" t="str">
        <f>IF(B270="","",COUNTIF($B$2:B270,B270))</f>
        <v/>
      </c>
      <c r="G270" s="6" t="str">
        <f>IF(F270="","Pending",IF(F270&lt;7,"Weekback","No Weekback"))</f>
        <v>Pending</v>
      </c>
    </row>
    <row r="271" spans="1:7">
      <c r="A271" s="6" t="str">
        <f>IF(B271="","",_xlfn.XLOOKUP(B271,'All '!B:B,'All '!A:A,"No Found"))</f>
        <v/>
      </c>
      <c r="C271" s="6" t="str">
        <f>IF(B271="","",_xlfn.XLOOKUP($B271,'All '!B:B,'All '!C:C,"No Found"))</f>
        <v/>
      </c>
      <c r="D271" s="6" t="str">
        <f>IF(B271="","",COUNTIF($B$2:B271,B271))</f>
        <v/>
      </c>
      <c r="G271" s="6" t="str">
        <f>IF(F271="","Pending",IF(F271&lt;7,"Weekback","No Weekback"))</f>
        <v>Pending</v>
      </c>
    </row>
    <row r="272" spans="1:7">
      <c r="A272" s="6" t="str">
        <f>IF(B272="","",_xlfn.XLOOKUP(B272,'All '!B:B,'All '!A:A,"No Found"))</f>
        <v/>
      </c>
      <c r="C272" s="6" t="str">
        <f>IF(B272="","",_xlfn.XLOOKUP($B272,'All '!B:B,'All '!C:C,"No Found"))</f>
        <v/>
      </c>
      <c r="D272" s="6" t="str">
        <f>IF(B272="","",COUNTIF($B$2:B272,B272))</f>
        <v/>
      </c>
      <c r="G272" s="6" t="str">
        <f>IF(F272="","Pending",IF(F272&lt;7,"Weekback","No Weekback"))</f>
        <v>Pending</v>
      </c>
    </row>
    <row r="273" spans="1:7">
      <c r="A273" s="6" t="str">
        <f>IF(B273="","",_xlfn.XLOOKUP(B273,'All '!B:B,'All '!A:A,"No Found"))</f>
        <v/>
      </c>
      <c r="C273" s="6" t="str">
        <f>IF(B273="","",_xlfn.XLOOKUP($B273,'All '!B:B,'All '!C:C,"No Found"))</f>
        <v/>
      </c>
      <c r="D273" s="6" t="str">
        <f>IF(B273="","",COUNTIF($B$2:B273,B273))</f>
        <v/>
      </c>
      <c r="G273" s="6" t="str">
        <f>IF(F273="","Pending",IF(F273&lt;7,"Weekback","No Weekback"))</f>
        <v>Pending</v>
      </c>
    </row>
    <row r="274" spans="1:7">
      <c r="A274" s="6" t="str">
        <f>IF(B274="","",_xlfn.XLOOKUP(B274,'All '!B:B,'All '!A:A,"No Found"))</f>
        <v/>
      </c>
      <c r="C274" s="6" t="str">
        <f>IF(B274="","",_xlfn.XLOOKUP($B274,'All '!B:B,'All '!C:C,"No Found"))</f>
        <v/>
      </c>
      <c r="D274" s="6" t="str">
        <f>IF(B274="","",COUNTIF($B$2:B274,B274))</f>
        <v/>
      </c>
      <c r="G274" s="6" t="str">
        <f>IF(F274="","Pending",IF(F274&lt;7,"Weekback","No Weekback"))</f>
        <v>Pending</v>
      </c>
    </row>
    <row r="275" spans="1:7">
      <c r="A275" s="6" t="str">
        <f>IF(B275="","",_xlfn.XLOOKUP(B275,'All '!B:B,'All '!A:A,"No Found"))</f>
        <v/>
      </c>
      <c r="C275" s="6" t="str">
        <f>IF(B275="","",_xlfn.XLOOKUP($B275,'All '!B:B,'All '!C:C,"No Found"))</f>
        <v/>
      </c>
      <c r="D275" s="6" t="str">
        <f>IF(B275="","",COUNTIF($B$2:B275,B275))</f>
        <v/>
      </c>
      <c r="G275" s="6" t="str">
        <f>IF(F275="","Pending",IF(F275&lt;7,"Weekback","No Weekback"))</f>
        <v>Pending</v>
      </c>
    </row>
    <row r="276" spans="1:7">
      <c r="A276" s="6" t="str">
        <f>IF(B276="","",_xlfn.XLOOKUP(B276,'All '!B:B,'All '!A:A,"No Found"))</f>
        <v/>
      </c>
      <c r="C276" s="6" t="str">
        <f>IF(B276="","",_xlfn.XLOOKUP($B276,'All '!B:B,'All '!C:C,"No Found"))</f>
        <v/>
      </c>
      <c r="D276" s="6" t="str">
        <f>IF(B276="","",COUNTIF($B$2:B276,B276))</f>
        <v/>
      </c>
      <c r="G276" s="6" t="str">
        <f>IF(F276="","Pending",IF(F276&lt;7,"Weekback","No Weekback"))</f>
        <v>Pending</v>
      </c>
    </row>
    <row r="277" spans="1:7">
      <c r="A277" s="6" t="str">
        <f>IF(B277="","",_xlfn.XLOOKUP(B277,'All '!B:B,'All '!A:A,"No Found"))</f>
        <v/>
      </c>
      <c r="C277" s="6" t="str">
        <f>IF(B277="","",_xlfn.XLOOKUP($B277,'All '!B:B,'All '!C:C,"No Found"))</f>
        <v/>
      </c>
      <c r="D277" s="6" t="str">
        <f>IF(B277="","",COUNTIF($B$2:B277,B277))</f>
        <v/>
      </c>
      <c r="G277" s="6" t="str">
        <f>IF(F277="","Pending",IF(F277&lt;7,"Weekback","No Weekback"))</f>
        <v>Pending</v>
      </c>
    </row>
    <row r="278" spans="1:7">
      <c r="A278" s="6" t="str">
        <f>IF(B278="","",_xlfn.XLOOKUP(B278,'All '!B:B,'All '!A:A,"No Found"))</f>
        <v/>
      </c>
      <c r="C278" s="6" t="str">
        <f>IF(B278="","",_xlfn.XLOOKUP($B278,'All '!B:B,'All '!C:C,"No Found"))</f>
        <v/>
      </c>
      <c r="D278" s="6" t="str">
        <f>IF(B278="","",COUNTIF($B$2:B278,B278))</f>
        <v/>
      </c>
      <c r="G278" s="6" t="str">
        <f>IF(F278="","Pending",IF(F278&lt;7,"Weekback","No Weekback"))</f>
        <v>Pending</v>
      </c>
    </row>
    <row r="279" spans="1:7">
      <c r="A279" s="6" t="str">
        <f>IF(B279="","",_xlfn.XLOOKUP(B279,'All '!B:B,'All '!A:A,"No Found"))</f>
        <v/>
      </c>
      <c r="C279" s="6" t="str">
        <f>IF(B279="","",_xlfn.XLOOKUP($B279,'All '!B:B,'All '!C:C,"No Found"))</f>
        <v/>
      </c>
      <c r="D279" s="6" t="str">
        <f>IF(B279="","",COUNTIF($B$2:B279,B279))</f>
        <v/>
      </c>
      <c r="G279" s="6" t="str">
        <f>IF(F279="","Pending",IF(F279&lt;7,"Weekback","No Weekback"))</f>
        <v>Pending</v>
      </c>
    </row>
    <row r="280" spans="1:7">
      <c r="A280" s="6" t="str">
        <f>IF(B280="","",_xlfn.XLOOKUP(B280,'All '!B:B,'All '!A:A,"No Found"))</f>
        <v/>
      </c>
      <c r="C280" s="6" t="str">
        <f>IF(B280="","",_xlfn.XLOOKUP($B280,'All '!B:B,'All '!C:C,"No Found"))</f>
        <v/>
      </c>
      <c r="D280" s="6" t="str">
        <f>IF(B280="","",COUNTIF($B$2:B280,B280))</f>
        <v/>
      </c>
      <c r="G280" s="6" t="str">
        <f>IF(F280="","Pending",IF(F280&lt;7,"Weekback","No Weekback"))</f>
        <v>Pending</v>
      </c>
    </row>
    <row r="281" spans="1:7">
      <c r="A281" s="6" t="str">
        <f>IF(B281="","",_xlfn.XLOOKUP(B281,'All '!B:B,'All '!A:A,"No Found"))</f>
        <v/>
      </c>
      <c r="C281" s="6" t="str">
        <f>IF(B281="","",_xlfn.XLOOKUP($B281,'All '!B:B,'All '!C:C,"No Found"))</f>
        <v/>
      </c>
      <c r="D281" s="6" t="str">
        <f>IF(B281="","",COUNTIF($B$2:B281,B281))</f>
        <v/>
      </c>
      <c r="G281" s="6" t="str">
        <f>IF(F281="","Pending",IF(F281&lt;7,"Weekback","No Weekback"))</f>
        <v>Pending</v>
      </c>
    </row>
    <row r="282" spans="1:7">
      <c r="A282" s="6" t="str">
        <f>IF(B282="","",_xlfn.XLOOKUP(B282,'All '!B:B,'All '!A:A,"No Found"))</f>
        <v/>
      </c>
      <c r="C282" s="6" t="str">
        <f>IF(B282="","",_xlfn.XLOOKUP($B282,'All '!B:B,'All '!C:C,"No Found"))</f>
        <v/>
      </c>
      <c r="D282" s="6" t="str">
        <f>IF(B282="","",COUNTIF($B$2:B282,B282))</f>
        <v/>
      </c>
      <c r="G282" s="6" t="str">
        <f>IF(F282="","Pending",IF(F282&lt;7,"Weekback","No Weekback"))</f>
        <v>Pending</v>
      </c>
    </row>
    <row r="283" spans="1:7">
      <c r="A283" s="6" t="str">
        <f>IF(B283="","",_xlfn.XLOOKUP(B283,'All '!B:B,'All '!A:A,"No Found"))</f>
        <v/>
      </c>
      <c r="C283" s="6" t="str">
        <f>IF(B283="","",_xlfn.XLOOKUP($B283,'All '!B:B,'All '!C:C,"No Found"))</f>
        <v/>
      </c>
      <c r="D283" s="6" t="str">
        <f>IF(B283="","",COUNTIF($B$2:B283,B283))</f>
        <v/>
      </c>
      <c r="G283" s="6" t="str">
        <f>IF(F283="","Pending",IF(F283&lt;7,"Weekback","No Weekback"))</f>
        <v>Pending</v>
      </c>
    </row>
    <row r="284" spans="1:7">
      <c r="A284" s="6" t="str">
        <f>IF(B284="","",_xlfn.XLOOKUP(B284,'All '!B:B,'All '!A:A,"No Found"))</f>
        <v/>
      </c>
      <c r="C284" s="6" t="str">
        <f>IF(B284="","",_xlfn.XLOOKUP($B284,'All '!B:B,'All '!C:C,"No Found"))</f>
        <v/>
      </c>
      <c r="D284" s="6" t="str">
        <f>IF(B284="","",COUNTIF($B$2:B284,B284))</f>
        <v/>
      </c>
      <c r="G284" s="6" t="str">
        <f>IF(F284="","Pending",IF(F284&lt;7,"Weekback","No Weekback"))</f>
        <v>Pending</v>
      </c>
    </row>
    <row r="285" spans="1:7">
      <c r="A285" s="6" t="str">
        <f>IF(B285="","",_xlfn.XLOOKUP(B285,'All '!B:B,'All '!A:A,"No Found"))</f>
        <v/>
      </c>
      <c r="C285" s="6" t="str">
        <f>IF(B285="","",_xlfn.XLOOKUP($B285,'All '!B:B,'All '!C:C,"No Found"))</f>
        <v/>
      </c>
      <c r="D285" s="6" t="str">
        <f>IF(B285="","",COUNTIF($B$2:B285,B285))</f>
        <v/>
      </c>
      <c r="G285" s="6" t="str">
        <f>IF(F285="","Pending",IF(F285&lt;7,"Weekback","No Weekback"))</f>
        <v>Pending</v>
      </c>
    </row>
    <row r="286" spans="1:7">
      <c r="A286" s="6" t="str">
        <f>IF(B286="","",_xlfn.XLOOKUP(B286,'All '!B:B,'All '!A:A,"No Found"))</f>
        <v/>
      </c>
      <c r="C286" s="6" t="str">
        <f>IF(B286="","",_xlfn.XLOOKUP($B286,'All '!B:B,'All '!C:C,"No Found"))</f>
        <v/>
      </c>
      <c r="D286" s="6" t="str">
        <f>IF(B286="","",COUNTIF($B$2:B286,B286))</f>
        <v/>
      </c>
      <c r="G286" s="6" t="str">
        <f>IF(F286="","Pending",IF(F286&lt;7,"Weekback","No Weekback"))</f>
        <v>Pending</v>
      </c>
    </row>
    <row r="287" spans="1:7">
      <c r="A287" s="6" t="str">
        <f>IF(B287="","",_xlfn.XLOOKUP(B287,'All '!B:B,'All '!A:A,"No Found"))</f>
        <v/>
      </c>
      <c r="C287" s="6" t="str">
        <f>IF(B287="","",_xlfn.XLOOKUP($B287,'All '!B:B,'All '!C:C,"No Found"))</f>
        <v/>
      </c>
      <c r="D287" s="6" t="str">
        <f>IF(B287="","",COUNTIF($B$2:B287,B287))</f>
        <v/>
      </c>
      <c r="G287" s="6" t="str">
        <f>IF(F287="","Pending",IF(F287&lt;7,"Weekback","No Weekback"))</f>
        <v>Pending</v>
      </c>
    </row>
    <row r="288" spans="1:7">
      <c r="A288" s="6" t="str">
        <f>IF(B288="","",_xlfn.XLOOKUP(B288,'All '!B:B,'All '!A:A,"No Found"))</f>
        <v/>
      </c>
      <c r="C288" s="6" t="str">
        <f>IF(B288="","",_xlfn.XLOOKUP($B288,'All '!B:B,'All '!C:C,"No Found"))</f>
        <v/>
      </c>
      <c r="D288" s="6" t="str">
        <f>IF(B288="","",COUNTIF($B$2:B288,B288))</f>
        <v/>
      </c>
      <c r="G288" s="6" t="str">
        <f>IF(F288="","Pending",IF(F288&lt;7,"Weekback","No Weekback"))</f>
        <v>Pending</v>
      </c>
    </row>
    <row r="289" spans="1:7">
      <c r="A289" s="6" t="str">
        <f>IF(B289="","",_xlfn.XLOOKUP(B289,'All '!B:B,'All '!A:A,"No Found"))</f>
        <v/>
      </c>
      <c r="C289" s="6" t="str">
        <f>IF(B289="","",_xlfn.XLOOKUP($B289,'All '!B:B,'All '!C:C,"No Found"))</f>
        <v/>
      </c>
      <c r="D289" s="6" t="str">
        <f>IF(B289="","",COUNTIF($B$2:B289,B289))</f>
        <v/>
      </c>
      <c r="G289" s="6" t="str">
        <f>IF(F289="","Pending",IF(F289&lt;7,"Weekback","No Weekback"))</f>
        <v>Pending</v>
      </c>
    </row>
    <row r="290" spans="1:7">
      <c r="A290" s="6" t="str">
        <f>IF(B290="","",_xlfn.XLOOKUP(B290,'All '!B:B,'All '!A:A,"No Found"))</f>
        <v/>
      </c>
      <c r="C290" s="6" t="str">
        <f>IF(B290="","",_xlfn.XLOOKUP($B290,'All '!B:B,'All '!C:C,"No Found"))</f>
        <v/>
      </c>
      <c r="D290" s="6" t="str">
        <f>IF(B290="","",COUNTIF($B$2:B290,B290))</f>
        <v/>
      </c>
      <c r="G290" s="6" t="str">
        <f>IF(F290="","Pending",IF(F290&lt;7,"Weekback","No Weekback"))</f>
        <v>Pending</v>
      </c>
    </row>
    <row r="291" spans="1:7">
      <c r="A291" s="6" t="str">
        <f>IF(B291="","",_xlfn.XLOOKUP(B291,'All '!B:B,'All '!A:A,"No Found"))</f>
        <v/>
      </c>
      <c r="C291" s="6" t="str">
        <f>IF(B291="","",_xlfn.XLOOKUP($B291,'All '!B:B,'All '!C:C,"No Found"))</f>
        <v/>
      </c>
      <c r="D291" s="6" t="str">
        <f>IF(B291="","",COUNTIF($B$2:B291,B291))</f>
        <v/>
      </c>
      <c r="G291" s="6" t="str">
        <f>IF(F291="","Pending",IF(F291&lt;7,"Weekback","No Weekback"))</f>
        <v>Pending</v>
      </c>
    </row>
    <row r="292" spans="1:7">
      <c r="A292" s="6" t="str">
        <f>IF(B292="","",_xlfn.XLOOKUP(B292,'All '!B:B,'All '!A:A,"No Found"))</f>
        <v/>
      </c>
      <c r="C292" s="6" t="str">
        <f>IF(B292="","",_xlfn.XLOOKUP($B292,'All '!B:B,'All '!C:C,"No Found"))</f>
        <v/>
      </c>
      <c r="D292" s="6" t="str">
        <f>IF(B292="","",COUNTIF($B$2:B292,B292))</f>
        <v/>
      </c>
      <c r="G292" s="6" t="str">
        <f>IF(F292="","Pending",IF(F292&lt;7,"Weekback","No Weekback"))</f>
        <v>Pending</v>
      </c>
    </row>
    <row r="293" spans="1:7">
      <c r="A293" s="6" t="str">
        <f>IF(B293="","",_xlfn.XLOOKUP(B293,'All '!B:B,'All '!A:A,"No Found"))</f>
        <v/>
      </c>
      <c r="C293" s="6" t="str">
        <f>IF(B293="","",_xlfn.XLOOKUP($B293,'All '!B:B,'All '!C:C,"No Found"))</f>
        <v/>
      </c>
      <c r="D293" s="6" t="str">
        <f>IF(B293="","",COUNTIF($B$2:B293,B293))</f>
        <v/>
      </c>
      <c r="G293" s="6" t="str">
        <f>IF(F293="","Pending",IF(F293&lt;7,"Weekback","No Weekback"))</f>
        <v>Pending</v>
      </c>
    </row>
    <row r="294" spans="1:7">
      <c r="A294" s="6" t="str">
        <f>IF(B294="","",_xlfn.XLOOKUP(B294,'All '!B:B,'All '!A:A,"No Found"))</f>
        <v/>
      </c>
      <c r="C294" s="6" t="str">
        <f>IF(B294="","",_xlfn.XLOOKUP($B294,'All '!B:B,'All '!C:C,"No Found"))</f>
        <v/>
      </c>
      <c r="D294" s="6" t="str">
        <f>IF(B294="","",COUNTIF($B$2:B294,B294))</f>
        <v/>
      </c>
      <c r="G294" s="6" t="str">
        <f>IF(F294="","Pending",IF(F294&lt;7,"Weekback","No Weekback"))</f>
        <v>Pending</v>
      </c>
    </row>
    <row r="295" spans="1:7">
      <c r="A295" s="6" t="str">
        <f>IF(B295="","",_xlfn.XLOOKUP(B295,'All '!B:B,'All '!A:A,"No Found"))</f>
        <v/>
      </c>
      <c r="C295" s="6" t="str">
        <f>IF(B295="","",_xlfn.XLOOKUP($B295,'All '!B:B,'All '!C:C,"No Found"))</f>
        <v/>
      </c>
      <c r="D295" s="6" t="str">
        <f>IF(B295="","",COUNTIF($B$2:B295,B295))</f>
        <v/>
      </c>
      <c r="G295" s="6" t="str">
        <f>IF(F295="","Pending",IF(F295&lt;7,"Weekback","No Weekback"))</f>
        <v>Pending</v>
      </c>
    </row>
    <row r="296" spans="1:7">
      <c r="A296" s="6" t="str">
        <f>IF(B296="","",_xlfn.XLOOKUP(B296,'All '!B:B,'All '!A:A,"No Found"))</f>
        <v/>
      </c>
      <c r="C296" s="6" t="str">
        <f>IF(B296="","",_xlfn.XLOOKUP($B296,'All '!B:B,'All '!C:C,"No Found"))</f>
        <v/>
      </c>
      <c r="D296" s="6" t="str">
        <f>IF(B296="","",COUNTIF($B$2:B296,B296))</f>
        <v/>
      </c>
      <c r="G296" s="6" t="str">
        <f>IF(F296="","Pending",IF(F296&lt;7,"Weekback","No Weekback"))</f>
        <v>Pending</v>
      </c>
    </row>
    <row r="297" spans="1:7">
      <c r="A297" s="6" t="str">
        <f>IF(B297="","",_xlfn.XLOOKUP(B297,'All '!B:B,'All '!A:A,"No Found"))</f>
        <v/>
      </c>
      <c r="C297" s="6" t="str">
        <f>IF(B297="","",_xlfn.XLOOKUP($B297,'All '!B:B,'All '!C:C,"No Found"))</f>
        <v/>
      </c>
      <c r="D297" s="6" t="str">
        <f>IF(B297="","",COUNTIF($B$2:B297,B297))</f>
        <v/>
      </c>
      <c r="G297" s="6" t="str">
        <f>IF(F297="","Pending",IF(F297&lt;7,"Weekback","No Weekback"))</f>
        <v>Pending</v>
      </c>
    </row>
    <row r="298" spans="1:7">
      <c r="A298" s="6" t="str">
        <f>IF(B298="","",_xlfn.XLOOKUP(B298,'All '!B:B,'All '!A:A,"No Found"))</f>
        <v/>
      </c>
      <c r="C298" s="6" t="str">
        <f>IF(B298="","",_xlfn.XLOOKUP($B298,'All '!B:B,'All '!C:C,"No Found"))</f>
        <v/>
      </c>
      <c r="D298" s="6" t="str">
        <f>IF(B298="","",COUNTIF($B$2:B298,B298))</f>
        <v/>
      </c>
      <c r="G298" s="6" t="str">
        <f>IF(F298="","Pending",IF(F298&lt;7,"Weekback","No Weekback"))</f>
        <v>Pending</v>
      </c>
    </row>
    <row r="299" spans="1:7">
      <c r="A299" s="6" t="str">
        <f>IF(B299="","",_xlfn.XLOOKUP(B299,'All '!B:B,'All '!A:A,"No Found"))</f>
        <v/>
      </c>
      <c r="C299" s="6" t="str">
        <f>IF(B299="","",_xlfn.XLOOKUP($B299,'All '!B:B,'All '!C:C,"No Found"))</f>
        <v/>
      </c>
      <c r="D299" s="6" t="str">
        <f>IF(B299="","",COUNTIF($B$2:B299,B299))</f>
        <v/>
      </c>
      <c r="G299" s="6" t="str">
        <f>IF(F299="","Pending",IF(F299&lt;7,"Weekback","No Weekback"))</f>
        <v>Pending</v>
      </c>
    </row>
    <row r="300" spans="1:7">
      <c r="A300" s="6" t="str">
        <f>IF(B300="","",_xlfn.XLOOKUP(B300,'All '!B:B,'All '!A:A,"No Found"))</f>
        <v/>
      </c>
      <c r="C300" s="6" t="str">
        <f>IF(B300="","",_xlfn.XLOOKUP($B300,'All '!B:B,'All '!C:C,"No Found"))</f>
        <v/>
      </c>
      <c r="D300" s="6" t="str">
        <f>IF(B300="","",COUNTIF($B$2:B300,B300))</f>
        <v/>
      </c>
      <c r="G300" s="6" t="str">
        <f>IF(F300="","Pending",IF(F300&lt;7,"Weekback","No Weekback"))</f>
        <v>Pending</v>
      </c>
    </row>
    <row r="301" spans="1:7">
      <c r="A301" s="6" t="str">
        <f>IF(B301="","",_xlfn.XLOOKUP(B301,'All '!B:B,'All '!A:A,"No Found"))</f>
        <v/>
      </c>
      <c r="C301" s="6" t="str">
        <f>IF(B301="","",_xlfn.XLOOKUP($B301,'All '!B:B,'All '!C:C,"No Found"))</f>
        <v/>
      </c>
      <c r="D301" s="6" t="str">
        <f>IF(B301="","",COUNTIF($B$2:B301,B301))</f>
        <v/>
      </c>
      <c r="G301" s="6" t="str">
        <f>IF(F301="","Pending",IF(F301&lt;7,"Weekback","No Weekback"))</f>
        <v>Pending</v>
      </c>
    </row>
    <row r="302" spans="1:7">
      <c r="A302" s="6" t="str">
        <f>IF(B302="","",_xlfn.XLOOKUP(B302,'All '!B:B,'All '!A:A,"No Found"))</f>
        <v/>
      </c>
      <c r="C302" s="6" t="str">
        <f>IF(B302="","",_xlfn.XLOOKUP($B302,'All '!B:B,'All '!C:C,"No Found"))</f>
        <v/>
      </c>
      <c r="D302" s="6" t="str">
        <f>IF(B302="","",COUNTIF($B$2:B302,B302))</f>
        <v/>
      </c>
      <c r="G302" s="6" t="str">
        <f>IF(F302="","Pending",IF(F302&lt;7,"Weekback","No Weekback"))</f>
        <v>Pending</v>
      </c>
    </row>
    <row r="303" spans="1:7">
      <c r="A303" s="6" t="str">
        <f>IF(B303="","",_xlfn.XLOOKUP(B303,'All '!B:B,'All '!A:A,"No Found"))</f>
        <v/>
      </c>
      <c r="C303" s="6" t="str">
        <f>IF(B303="","",_xlfn.XLOOKUP($B303,'All '!B:B,'All '!C:C,"No Found"))</f>
        <v/>
      </c>
      <c r="D303" s="6" t="str">
        <f>IF(B303="","",COUNTIF($B$2:B303,B303))</f>
        <v/>
      </c>
      <c r="G303" s="6" t="str">
        <f>IF(F303="","Pending",IF(F303&lt;7,"Weekback","No Weekback"))</f>
        <v>Pending</v>
      </c>
    </row>
    <row r="304" spans="1:7">
      <c r="A304" s="6" t="str">
        <f>IF(B304="","",_xlfn.XLOOKUP(B304,'All '!B:B,'All '!A:A,"No Found"))</f>
        <v/>
      </c>
      <c r="C304" s="6" t="str">
        <f>IF(B304="","",_xlfn.XLOOKUP($B304,'All '!B:B,'All '!C:C,"No Found"))</f>
        <v/>
      </c>
      <c r="D304" s="6" t="str">
        <f>IF(B304="","",COUNTIF($B$2:B304,B304))</f>
        <v/>
      </c>
      <c r="G304" s="6" t="str">
        <f>IF(F304="","Pending",IF(F304&lt;7,"Weekback","No Weekback"))</f>
        <v>Pending</v>
      </c>
    </row>
    <row r="305" spans="1:7">
      <c r="A305" s="6" t="str">
        <f>IF(B305="","",_xlfn.XLOOKUP(B305,'All '!B:B,'All '!A:A,"No Found"))</f>
        <v/>
      </c>
      <c r="C305" s="6" t="str">
        <f>IF(B305="","",_xlfn.XLOOKUP($B305,'All '!B:B,'All '!C:C,"No Found"))</f>
        <v/>
      </c>
      <c r="D305" s="6" t="str">
        <f>IF(B305="","",COUNTIF($B$2:B305,B305))</f>
        <v/>
      </c>
      <c r="G305" s="6" t="str">
        <f>IF(F305="","Pending",IF(F305&lt;7,"Weekback","No Weekback"))</f>
        <v>Pending</v>
      </c>
    </row>
    <row r="306" spans="1:7">
      <c r="A306" s="6" t="str">
        <f>IF(B306="","",_xlfn.XLOOKUP(B306,'All '!B:B,'All '!A:A,"No Found"))</f>
        <v/>
      </c>
      <c r="C306" s="6" t="str">
        <f>IF(B306="","",_xlfn.XLOOKUP($B306,'All '!B:B,'All '!C:C,"No Found"))</f>
        <v/>
      </c>
      <c r="D306" s="6" t="str">
        <f>IF(B306="","",COUNTIF($B$2:B306,B306))</f>
        <v/>
      </c>
      <c r="G306" s="6" t="str">
        <f>IF(F306="","Pending",IF(F306&lt;7,"Weekback","No Weekback"))</f>
        <v>Pending</v>
      </c>
    </row>
    <row r="307" spans="1:7">
      <c r="A307" s="6" t="str">
        <f>IF(B307="","",_xlfn.XLOOKUP(B307,'All '!B:B,'All '!A:A,"No Found"))</f>
        <v/>
      </c>
      <c r="C307" s="6" t="str">
        <f>IF(B307="","",_xlfn.XLOOKUP($B307,'All '!B:B,'All '!C:C,"No Found"))</f>
        <v/>
      </c>
      <c r="D307" s="6" t="str">
        <f>IF(B307="","",COUNTIF($B$2:B307,B307))</f>
        <v/>
      </c>
      <c r="G307" s="6" t="str">
        <f>IF(F307="","Pending",IF(F307&lt;7,"Weekback","No Weekback"))</f>
        <v>Pending</v>
      </c>
    </row>
    <row r="308" spans="1:7">
      <c r="A308" s="6" t="str">
        <f>IF(B308="","",_xlfn.XLOOKUP(B308,'All '!B:B,'All '!A:A,"No Found"))</f>
        <v/>
      </c>
      <c r="C308" s="6" t="str">
        <f>IF(B308="","",_xlfn.XLOOKUP($B308,'All '!B:B,'All '!C:C,"No Found"))</f>
        <v/>
      </c>
      <c r="D308" s="6" t="str">
        <f>IF(B308="","",COUNTIF($B$2:B308,B308))</f>
        <v/>
      </c>
      <c r="G308" s="6" t="str">
        <f>IF(F308="","Pending",IF(F308&lt;7,"Weekback","No Weekback"))</f>
        <v>Pending</v>
      </c>
    </row>
    <row r="309" spans="1:7">
      <c r="A309" s="6" t="str">
        <f>IF(B309="","",_xlfn.XLOOKUP(B309,'All '!B:B,'All '!A:A,"No Found"))</f>
        <v/>
      </c>
      <c r="C309" s="6" t="str">
        <f>IF(B309="","",_xlfn.XLOOKUP($B309,'All '!B:B,'All '!C:C,"No Found"))</f>
        <v/>
      </c>
      <c r="D309" s="6" t="str">
        <f>IF(B309="","",COUNTIF($B$2:B309,B309))</f>
        <v/>
      </c>
      <c r="G309" s="6" t="str">
        <f>IF(F309="","Pending",IF(F309&lt;7,"Weekback","No Weekback"))</f>
        <v>Pending</v>
      </c>
    </row>
    <row r="310" spans="1:7">
      <c r="A310" s="6" t="str">
        <f>IF(B310="","",_xlfn.XLOOKUP(B310,'All '!B:B,'All '!A:A,"No Found"))</f>
        <v/>
      </c>
      <c r="C310" s="6" t="str">
        <f>IF(B310="","",_xlfn.XLOOKUP($B310,'All '!B:B,'All '!C:C,"No Found"))</f>
        <v/>
      </c>
      <c r="D310" s="6" t="str">
        <f>IF(B310="","",COUNTIF($B$2:B310,B310))</f>
        <v/>
      </c>
      <c r="G310" s="6" t="str">
        <f>IF(F310="","Pending",IF(F310&lt;7,"Weekback","No Weekback"))</f>
        <v>Pending</v>
      </c>
    </row>
    <row r="311" spans="1:7">
      <c r="A311" s="6" t="str">
        <f>IF(B311="","",_xlfn.XLOOKUP(B311,'All '!B:B,'All '!A:A,"No Found"))</f>
        <v/>
      </c>
      <c r="C311" s="6" t="str">
        <f>IF(B311="","",_xlfn.XLOOKUP($B311,'All '!B:B,'All '!C:C,"No Found"))</f>
        <v/>
      </c>
      <c r="D311" s="6" t="str">
        <f>IF(B311="","",COUNTIF($B$2:B311,B311))</f>
        <v/>
      </c>
      <c r="G311" s="6" t="str">
        <f>IF(F311="","Pending",IF(F311&lt;7,"Weekback","No Weekback"))</f>
        <v>Pending</v>
      </c>
    </row>
    <row r="312" spans="1:7">
      <c r="A312" s="6" t="str">
        <f>IF(B312="","",_xlfn.XLOOKUP(B312,'All '!B:B,'All '!A:A,"No Found"))</f>
        <v/>
      </c>
      <c r="C312" s="6" t="str">
        <f>IF(B312="","",_xlfn.XLOOKUP($B312,'All '!B:B,'All '!C:C,"No Found"))</f>
        <v/>
      </c>
      <c r="D312" s="6" t="str">
        <f>IF(B312="","",COUNTIF($B$2:B312,B312))</f>
        <v/>
      </c>
      <c r="G312" s="6" t="str">
        <f>IF(F312="","Pending",IF(F312&lt;7,"Weekback","No Weekback"))</f>
        <v>Pending</v>
      </c>
    </row>
    <row r="313" spans="1:7">
      <c r="A313" s="6" t="str">
        <f>IF(B313="","",_xlfn.XLOOKUP(B313,'All '!B:B,'All '!A:A,"No Found"))</f>
        <v/>
      </c>
      <c r="C313" s="6" t="str">
        <f>IF(B313="","",_xlfn.XLOOKUP($B313,'All '!B:B,'All '!C:C,"No Found"))</f>
        <v/>
      </c>
      <c r="D313" s="6" t="str">
        <f>IF(B313="","",COUNTIF($B$2:B313,B313))</f>
        <v/>
      </c>
      <c r="G313" s="6" t="str">
        <f>IF(F313="","Pending",IF(F313&lt;7,"Weekback","No Weekback"))</f>
        <v>Pending</v>
      </c>
    </row>
    <row r="314" spans="1:7">
      <c r="A314" s="6" t="str">
        <f>IF(B314="","",_xlfn.XLOOKUP(B314,'All '!B:B,'All '!A:A,"No Found"))</f>
        <v/>
      </c>
      <c r="C314" s="6" t="str">
        <f>IF(B314="","",_xlfn.XLOOKUP($B314,'All '!B:B,'All '!C:C,"No Found"))</f>
        <v/>
      </c>
      <c r="D314" s="6" t="str">
        <f>IF(B314="","",COUNTIF($B$2:B314,B314))</f>
        <v/>
      </c>
      <c r="G314" s="6" t="str">
        <f>IF(F314="","Pending",IF(F314&lt;7,"Weekback","No Weekback"))</f>
        <v>Pending</v>
      </c>
    </row>
    <row r="315" spans="1:7">
      <c r="A315" s="6" t="str">
        <f>IF(B315="","",_xlfn.XLOOKUP(B315,'All '!B:B,'All '!A:A,"No Found"))</f>
        <v/>
      </c>
      <c r="C315" s="6" t="str">
        <f>IF(B315="","",_xlfn.XLOOKUP($B315,'All '!B:B,'All '!C:C,"No Found"))</f>
        <v/>
      </c>
      <c r="D315" s="6" t="str">
        <f>IF(B315="","",COUNTIF($B$2:B315,B315))</f>
        <v/>
      </c>
      <c r="G315" s="6" t="str">
        <f>IF(F315="","Pending",IF(F315&lt;7,"Weekback","No Weekback"))</f>
        <v>Pending</v>
      </c>
    </row>
    <row r="316" spans="1:7">
      <c r="A316" s="6" t="str">
        <f>IF(B316="","",_xlfn.XLOOKUP(B316,'All '!B:B,'All '!A:A,"No Found"))</f>
        <v/>
      </c>
      <c r="C316" s="6" t="str">
        <f>IF(B316="","",_xlfn.XLOOKUP($B316,'All '!B:B,'All '!C:C,"No Found"))</f>
        <v/>
      </c>
      <c r="D316" s="6" t="str">
        <f>IF(B316="","",COUNTIF($B$2:B316,B316))</f>
        <v/>
      </c>
      <c r="G316" s="6" t="str">
        <f>IF(F316="","Pending",IF(F316&lt;7,"Weekback","No Weekback"))</f>
        <v>Pending</v>
      </c>
    </row>
    <row r="317" spans="1:7">
      <c r="A317" s="6" t="str">
        <f>IF(B317="","",_xlfn.XLOOKUP(B317,'All '!B:B,'All '!A:A,"No Found"))</f>
        <v/>
      </c>
      <c r="C317" s="6" t="str">
        <f>IF(B317="","",_xlfn.XLOOKUP($B317,'All '!B:B,'All '!C:C,"No Found"))</f>
        <v/>
      </c>
      <c r="D317" s="6" t="str">
        <f>IF(B317="","",COUNTIF($B$2:B317,B317))</f>
        <v/>
      </c>
      <c r="G317" s="6" t="str">
        <f>IF(F317="","Pending",IF(F317&lt;7,"Weekback","No Weekback"))</f>
        <v>Pending</v>
      </c>
    </row>
    <row r="318" spans="1:7">
      <c r="A318" s="6" t="str">
        <f>IF(B318="","",_xlfn.XLOOKUP(B318,'All '!B:B,'All '!A:A,"No Found"))</f>
        <v/>
      </c>
      <c r="C318" s="6" t="str">
        <f>IF(B318="","",_xlfn.XLOOKUP($B318,'All '!B:B,'All '!C:C,"No Found"))</f>
        <v/>
      </c>
      <c r="D318" s="6" t="str">
        <f>IF(B318="","",COUNTIF($B$2:B318,B318))</f>
        <v/>
      </c>
      <c r="G318" s="6" t="str">
        <f>IF(F318="","Pending",IF(F318&lt;7,"Weekback","No Weekback"))</f>
        <v>Pending</v>
      </c>
    </row>
    <row r="319" spans="1:7">
      <c r="A319" s="6" t="str">
        <f>IF(B319="","",_xlfn.XLOOKUP(B319,'All '!B:B,'All '!A:A,"No Found"))</f>
        <v/>
      </c>
      <c r="C319" s="6" t="str">
        <f>IF(B319="","",_xlfn.XLOOKUP($B319,'All '!B:B,'All '!C:C,"No Found"))</f>
        <v/>
      </c>
      <c r="D319" s="6" t="str">
        <f>IF(B319="","",COUNTIF($B$2:B319,B319))</f>
        <v/>
      </c>
      <c r="G319" s="6" t="str">
        <f>IF(F319="","Pending",IF(F319&lt;7,"Weekback","No Weekback"))</f>
        <v>Pending</v>
      </c>
    </row>
    <row r="320" spans="1:7">
      <c r="A320" s="6" t="str">
        <f>IF(B320="","",_xlfn.XLOOKUP(B320,'All '!B:B,'All '!A:A,"No Found"))</f>
        <v/>
      </c>
      <c r="C320" s="6" t="str">
        <f>IF(B320="","",_xlfn.XLOOKUP($B320,'All '!B:B,'All '!C:C,"No Found"))</f>
        <v/>
      </c>
      <c r="D320" s="6" t="str">
        <f>IF(B320="","",COUNTIF($B$2:B320,B320))</f>
        <v/>
      </c>
      <c r="G320" s="6" t="str">
        <f>IF(F320="","Pending",IF(F320&lt;7,"Weekback","No Weekback"))</f>
        <v>Pending</v>
      </c>
    </row>
    <row r="321" spans="1:7">
      <c r="A321" s="6" t="str">
        <f>IF(B321="","",_xlfn.XLOOKUP(B321,'All '!B:B,'All '!A:A,"No Found"))</f>
        <v/>
      </c>
      <c r="C321" s="6" t="str">
        <f>IF(B321="","",_xlfn.XLOOKUP($B321,'All '!B:B,'All '!C:C,"No Found"))</f>
        <v/>
      </c>
      <c r="D321" s="6" t="str">
        <f>IF(B321="","",COUNTIF($B$2:B321,B321))</f>
        <v/>
      </c>
      <c r="G321" s="6" t="str">
        <f>IF(F321="","Pending",IF(F321&lt;7,"Weekback","No Weekback"))</f>
        <v>Pending</v>
      </c>
    </row>
    <row r="322" spans="1:7">
      <c r="A322" s="6" t="str">
        <f>IF(B322="","",_xlfn.XLOOKUP(B322,'All '!B:B,'All '!A:A,"No Found"))</f>
        <v/>
      </c>
      <c r="C322" s="6" t="str">
        <f>IF(B322="","",_xlfn.XLOOKUP($B322,'All '!B:B,'All '!C:C,"No Found"))</f>
        <v/>
      </c>
      <c r="D322" s="6" t="str">
        <f>IF(B322="","",COUNTIF($B$2:B322,B322))</f>
        <v/>
      </c>
      <c r="G322" s="6" t="str">
        <f>IF(F322="","Pending",IF(F322&lt;7,"Weekback","No Weekback"))</f>
        <v>Pending</v>
      </c>
    </row>
    <row r="323" spans="1:7">
      <c r="A323" s="6" t="str">
        <f>IF(B323="","",_xlfn.XLOOKUP(B323,'All '!B:B,'All '!A:A,"No Found"))</f>
        <v/>
      </c>
      <c r="C323" s="6" t="str">
        <f>IF(B323="","",_xlfn.XLOOKUP($B323,'All '!B:B,'All '!C:C,"No Found"))</f>
        <v/>
      </c>
      <c r="D323" s="6" t="str">
        <f>IF(B323="","",COUNTIF($B$2:B323,B323))</f>
        <v/>
      </c>
      <c r="G323" s="6" t="str">
        <f>IF(F323="","Pending",IF(F323&lt;7,"Weekback","No Weekback"))</f>
        <v>Pending</v>
      </c>
    </row>
    <row r="324" spans="1:7">
      <c r="A324" s="6" t="str">
        <f>IF(B324="","",_xlfn.XLOOKUP(B324,'All '!B:B,'All '!A:A,"No Found"))</f>
        <v/>
      </c>
      <c r="C324" s="6" t="str">
        <f>IF(B324="","",_xlfn.XLOOKUP($B324,'All '!B:B,'All '!C:C,"No Found"))</f>
        <v/>
      </c>
      <c r="D324" s="6" t="str">
        <f>IF(B324="","",COUNTIF($B$2:B324,B324))</f>
        <v/>
      </c>
      <c r="G324" s="6" t="str">
        <f>IF(F324="","Pending",IF(F324&lt;7,"Weekback","No Weekback"))</f>
        <v>Pending</v>
      </c>
    </row>
    <row r="325" spans="1:7">
      <c r="A325" s="6" t="str">
        <f>IF(B325="","",_xlfn.XLOOKUP(B325,'All '!B:B,'All '!A:A,"No Found"))</f>
        <v/>
      </c>
      <c r="C325" s="6" t="str">
        <f>IF(B325="","",_xlfn.XLOOKUP($B325,'All '!B:B,'All '!C:C,"No Found"))</f>
        <v/>
      </c>
      <c r="D325" s="6" t="str">
        <f>IF(B325="","",COUNTIF($B$2:B325,B325))</f>
        <v/>
      </c>
      <c r="G325" s="6" t="str">
        <f>IF(F325="","Pending",IF(F325&lt;7,"Weekback","No Weekback"))</f>
        <v>Pending</v>
      </c>
    </row>
    <row r="326" spans="1:7">
      <c r="A326" s="6" t="str">
        <f>IF(B326="","",_xlfn.XLOOKUP(B326,'All '!B:B,'All '!A:A,"No Found"))</f>
        <v/>
      </c>
      <c r="C326" s="6" t="str">
        <f>IF(B326="","",_xlfn.XLOOKUP($B326,'All '!B:B,'All '!C:C,"No Found"))</f>
        <v/>
      </c>
      <c r="D326" s="6" t="str">
        <f>IF(B326="","",COUNTIF($B$2:B326,B326))</f>
        <v/>
      </c>
      <c r="G326" s="6" t="str">
        <f>IF(F326="","Pending",IF(F326&lt;7,"Weekback","No Weekback"))</f>
        <v>Pending</v>
      </c>
    </row>
    <row r="327" spans="1:7">
      <c r="A327" s="6" t="str">
        <f>IF(B327="","",_xlfn.XLOOKUP(B327,'All '!B:B,'All '!A:A,"No Found"))</f>
        <v/>
      </c>
      <c r="C327" s="6" t="str">
        <f>IF(B327="","",_xlfn.XLOOKUP($B327,'All '!B:B,'All '!C:C,"No Found"))</f>
        <v/>
      </c>
      <c r="D327" s="6" t="str">
        <f>IF(B327="","",COUNTIF($B$2:B327,B327))</f>
        <v/>
      </c>
      <c r="G327" s="6" t="str">
        <f>IF(F327="","Pending",IF(F327&lt;7,"Weekback","No Weekback"))</f>
        <v>Pending</v>
      </c>
    </row>
    <row r="328" spans="1:7">
      <c r="A328" s="6" t="str">
        <f>IF(B328="","",_xlfn.XLOOKUP(B328,'All '!B:B,'All '!A:A,"No Found"))</f>
        <v/>
      </c>
      <c r="C328" s="6" t="str">
        <f>IF(B328="","",_xlfn.XLOOKUP($B328,'All '!B:B,'All '!C:C,"No Found"))</f>
        <v/>
      </c>
      <c r="D328" s="6" t="str">
        <f>IF(B328="","",COUNTIF($B$2:B328,B328))</f>
        <v/>
      </c>
      <c r="G328" s="6" t="str">
        <f>IF(F328="","Pending",IF(F328&lt;7,"Weekback","No Weekback"))</f>
        <v>Pending</v>
      </c>
    </row>
    <row r="329" spans="1:7">
      <c r="A329" s="6" t="str">
        <f>IF(B329="","",_xlfn.XLOOKUP(B329,'All '!B:B,'All '!A:A,"No Found"))</f>
        <v/>
      </c>
      <c r="C329" s="6" t="str">
        <f>IF(B329="","",_xlfn.XLOOKUP($B329,'All '!B:B,'All '!C:C,"No Found"))</f>
        <v/>
      </c>
      <c r="D329" s="6" t="str">
        <f>IF(B329="","",COUNTIF($B$2:B329,B329))</f>
        <v/>
      </c>
      <c r="G329" s="6" t="str">
        <f>IF(F329="","Pending",IF(F329&lt;7,"Weekback","No Weekback"))</f>
        <v>Pending</v>
      </c>
    </row>
    <row r="330" spans="1:7">
      <c r="A330" s="6" t="str">
        <f>IF(B330="","",_xlfn.XLOOKUP(B330,'All '!B:B,'All '!A:A,"No Found"))</f>
        <v/>
      </c>
      <c r="C330" s="6" t="str">
        <f>IF(B330="","",_xlfn.XLOOKUP($B330,'All '!B:B,'All '!C:C,"No Found"))</f>
        <v/>
      </c>
      <c r="D330" s="6" t="str">
        <f>IF(B330="","",COUNTIF($B$2:B330,B330))</f>
        <v/>
      </c>
      <c r="G330" s="6" t="str">
        <f>IF(F330="","Pending",IF(F330&lt;7,"Weekback","No Weekback"))</f>
        <v>Pending</v>
      </c>
    </row>
    <row r="331" spans="1:7">
      <c r="A331" s="6" t="str">
        <f>IF(B331="","",_xlfn.XLOOKUP(B331,'All '!B:B,'All '!A:A,"No Found"))</f>
        <v/>
      </c>
      <c r="C331" s="6" t="str">
        <f>IF(B331="","",_xlfn.XLOOKUP($B331,'All '!B:B,'All '!C:C,"No Found"))</f>
        <v/>
      </c>
      <c r="D331" s="6" t="str">
        <f>IF(B331="","",COUNTIF($B$2:B331,B331))</f>
        <v/>
      </c>
      <c r="G331" s="6" t="str">
        <f>IF(F331="","Pending",IF(F331&lt;7,"Weekback","No Weekback"))</f>
        <v>Pending</v>
      </c>
    </row>
    <row r="332" spans="1:7">
      <c r="A332" s="6" t="str">
        <f>IF(B332="","",_xlfn.XLOOKUP(B332,'All '!B:B,'All '!A:A,"No Found"))</f>
        <v/>
      </c>
      <c r="C332" s="6" t="str">
        <f>IF(B332="","",_xlfn.XLOOKUP($B332,'All '!B:B,'All '!C:C,"No Found"))</f>
        <v/>
      </c>
      <c r="D332" s="6" t="str">
        <f>IF(B332="","",COUNTIF($B$2:B332,B332))</f>
        <v/>
      </c>
      <c r="G332" s="6" t="str">
        <f>IF(F332="","Pending",IF(F332&lt;7,"Weekback","No Weekback"))</f>
        <v>Pending</v>
      </c>
    </row>
    <row r="333" spans="1:7">
      <c r="A333" s="6" t="str">
        <f>IF(B333="","",_xlfn.XLOOKUP(B333,'All '!B:B,'All '!A:A,"No Found"))</f>
        <v/>
      </c>
      <c r="C333" s="6" t="str">
        <f>IF(B333="","",_xlfn.XLOOKUP($B333,'All '!B:B,'All '!C:C,"No Found"))</f>
        <v/>
      </c>
      <c r="D333" s="6" t="str">
        <f>IF(B333="","",COUNTIF($B$2:B333,B333))</f>
        <v/>
      </c>
      <c r="G333" s="6" t="str">
        <f>IF(F333="","Pending",IF(F333&lt;7,"Weekback","No Weekback"))</f>
        <v>Pending</v>
      </c>
    </row>
    <row r="334" spans="1:7">
      <c r="A334" s="6" t="str">
        <f>IF(B334="","",_xlfn.XLOOKUP(B334,'All '!B:B,'All '!A:A,"No Found"))</f>
        <v/>
      </c>
      <c r="C334" s="6" t="str">
        <f>IF(B334="","",_xlfn.XLOOKUP($B334,'All '!B:B,'All '!C:C,"No Found"))</f>
        <v/>
      </c>
      <c r="D334" s="6" t="str">
        <f>IF(B334="","",COUNTIF($B$2:B334,B334))</f>
        <v/>
      </c>
      <c r="G334" s="6" t="str">
        <f>IF(F334="","Pending",IF(F334&lt;7,"Weekback","No Weekback"))</f>
        <v>Pending</v>
      </c>
    </row>
    <row r="335" spans="1:7">
      <c r="A335" s="6" t="str">
        <f>IF(B335="","",_xlfn.XLOOKUP(B335,'All '!B:B,'All '!A:A,"No Found"))</f>
        <v/>
      </c>
      <c r="C335" s="6" t="str">
        <f>IF(B335="","",_xlfn.XLOOKUP($B335,'All '!B:B,'All '!C:C,"No Found"))</f>
        <v/>
      </c>
      <c r="D335" s="6" t="str">
        <f>IF(B335="","",COUNTIF($B$2:B335,B335))</f>
        <v/>
      </c>
      <c r="G335" s="6" t="str">
        <f>IF(F335="","Pending",IF(F335&lt;7,"Weekback","No Weekback"))</f>
        <v>Pending</v>
      </c>
    </row>
    <row r="336" spans="1:7">
      <c r="A336" s="6" t="str">
        <f>IF(B336="","",_xlfn.XLOOKUP(B336,'All '!B:B,'All '!A:A,"No Found"))</f>
        <v/>
      </c>
      <c r="C336" s="6" t="str">
        <f>IF(B336="","",_xlfn.XLOOKUP($B336,'All '!B:B,'All '!C:C,"No Found"))</f>
        <v/>
      </c>
      <c r="D336" s="6" t="str">
        <f>IF(B336="","",COUNTIF($B$2:B336,B336))</f>
        <v/>
      </c>
      <c r="G336" s="6" t="str">
        <f>IF(F336="","Pending",IF(F336&lt;7,"Weekback","No Weekback"))</f>
        <v>Pending</v>
      </c>
    </row>
    <row r="337" spans="1:7">
      <c r="A337" s="6" t="str">
        <f>IF(B337="","",_xlfn.XLOOKUP(B337,'All '!B:B,'All '!A:A,"No Found"))</f>
        <v/>
      </c>
      <c r="C337" s="6" t="str">
        <f>IF(B337="","",_xlfn.XLOOKUP($B337,'All '!B:B,'All '!C:C,"No Found"))</f>
        <v/>
      </c>
      <c r="D337" s="6" t="str">
        <f>IF(B337="","",COUNTIF($B$2:B337,B337))</f>
        <v/>
      </c>
      <c r="G337" s="6" t="str">
        <f>IF(F337="","Pending",IF(F337&lt;7,"Weekback","No Weekback"))</f>
        <v>Pending</v>
      </c>
    </row>
    <row r="338" spans="1:7">
      <c r="A338" s="6" t="str">
        <f>IF(B338="","",_xlfn.XLOOKUP(B338,'All '!B:B,'All '!A:A,"No Found"))</f>
        <v/>
      </c>
      <c r="C338" s="6" t="str">
        <f>IF(B338="","",_xlfn.XLOOKUP($B338,'All '!B:B,'All '!C:C,"No Found"))</f>
        <v/>
      </c>
      <c r="D338" s="6" t="str">
        <f>IF(B338="","",COUNTIF($B$2:B338,B338))</f>
        <v/>
      </c>
      <c r="G338" s="6" t="str">
        <f>IF(F338="","Pending",IF(F338&lt;7,"Weekback","No Weekback"))</f>
        <v>Pending</v>
      </c>
    </row>
    <row r="339" spans="1:7">
      <c r="A339" s="6" t="str">
        <f>IF(B339="","",_xlfn.XLOOKUP(B339,'All '!B:B,'All '!A:A,"No Found"))</f>
        <v/>
      </c>
      <c r="C339" s="6" t="str">
        <f>IF(B339="","",_xlfn.XLOOKUP($B339,'All '!B:B,'All '!C:C,"No Found"))</f>
        <v/>
      </c>
      <c r="D339" s="6" t="str">
        <f>IF(B339="","",COUNTIF($B$2:B339,B339))</f>
        <v/>
      </c>
      <c r="G339" s="6" t="str">
        <f>IF(F339="","Pending",IF(F339&lt;7,"Weekback","No Weekback"))</f>
        <v>Pending</v>
      </c>
    </row>
    <row r="340" spans="1:7">
      <c r="A340" s="6" t="str">
        <f>IF(B340="","",_xlfn.XLOOKUP(B340,'All '!B:B,'All '!A:A,"No Found"))</f>
        <v/>
      </c>
      <c r="C340" s="6" t="str">
        <f>IF(B340="","",_xlfn.XLOOKUP($B340,'All '!B:B,'All '!C:C,"No Found"))</f>
        <v/>
      </c>
      <c r="D340" s="6" t="str">
        <f>IF(B340="","",COUNTIF($B$2:B340,B340))</f>
        <v/>
      </c>
      <c r="G340" s="6" t="str">
        <f>IF(F340="","Pending",IF(F340&lt;7,"Weekback","No Weekback"))</f>
        <v>Pending</v>
      </c>
    </row>
    <row r="341" spans="1:7">
      <c r="A341" s="6" t="str">
        <f>IF(B341="","",_xlfn.XLOOKUP(B341,'All '!B:B,'All '!A:A,"No Found"))</f>
        <v/>
      </c>
      <c r="C341" s="6" t="str">
        <f>IF(B341="","",_xlfn.XLOOKUP($B341,'All '!B:B,'All '!C:C,"No Found"))</f>
        <v/>
      </c>
      <c r="D341" s="6" t="str">
        <f>IF(B341="","",COUNTIF($B$2:B341,B341))</f>
        <v/>
      </c>
      <c r="G341" s="6" t="str">
        <f>IF(F341="","Pending",IF(F341&lt;7,"Weekback","No Weekback"))</f>
        <v>Pending</v>
      </c>
    </row>
    <row r="342" spans="1:7">
      <c r="A342" s="6" t="str">
        <f>IF(B342="","",_xlfn.XLOOKUP(B342,'All '!B:B,'All '!A:A,"No Found"))</f>
        <v/>
      </c>
      <c r="C342" s="6" t="str">
        <f>IF(B342="","",_xlfn.XLOOKUP($B342,'All '!B:B,'All '!C:C,"No Found"))</f>
        <v/>
      </c>
      <c r="D342" s="6" t="str">
        <f>IF(B342="","",COUNTIF($B$2:B342,B342))</f>
        <v/>
      </c>
      <c r="G342" s="6" t="str">
        <f>IF(F342="","Pending",IF(F342&lt;7,"Weekback","No Weekback"))</f>
        <v>Pending</v>
      </c>
    </row>
    <row r="343" spans="1:7">
      <c r="A343" s="6" t="str">
        <f>IF(B343="","",_xlfn.XLOOKUP(B343,'All '!B:B,'All '!A:A,"No Found"))</f>
        <v/>
      </c>
      <c r="C343" s="6" t="str">
        <f>IF(B343="","",_xlfn.XLOOKUP($B343,'All '!B:B,'All '!C:C,"No Found"))</f>
        <v/>
      </c>
      <c r="D343" s="6" t="str">
        <f>IF(B343="","",COUNTIF($B$2:B343,B343))</f>
        <v/>
      </c>
      <c r="G343" s="6" t="str">
        <f>IF(F343="","Pending",IF(F343&lt;7,"Weekback","No Weekback"))</f>
        <v>Pending</v>
      </c>
    </row>
    <row r="344" spans="1:7">
      <c r="A344" s="6" t="str">
        <f>IF(B344="","",_xlfn.XLOOKUP(B344,'All '!B:B,'All '!A:A,"No Found"))</f>
        <v/>
      </c>
      <c r="C344" s="6" t="str">
        <f>IF(B344="","",_xlfn.XLOOKUP($B344,'All '!B:B,'All '!C:C,"No Found"))</f>
        <v/>
      </c>
      <c r="D344" s="6" t="str">
        <f>IF(B344="","",COUNTIF($B$2:B344,B344))</f>
        <v/>
      </c>
      <c r="G344" s="6" t="str">
        <f>IF(F344="","Pending",IF(F344&lt;7,"Weekback","No Weekback"))</f>
        <v>Pending</v>
      </c>
    </row>
    <row r="345" spans="1:7">
      <c r="A345" s="6" t="str">
        <f>IF(B345="","",_xlfn.XLOOKUP(B345,'All '!B:B,'All '!A:A,"No Found"))</f>
        <v/>
      </c>
      <c r="C345" s="6" t="str">
        <f>IF(B345="","",_xlfn.XLOOKUP($B345,'All '!B:B,'All '!C:C,"No Found"))</f>
        <v/>
      </c>
      <c r="D345" s="6" t="str">
        <f>IF(B345="","",COUNTIF($B$2:B345,B345))</f>
        <v/>
      </c>
      <c r="G345" s="6" t="str">
        <f>IF(F345="","Pending",IF(F345&lt;7,"Weekback","No Weekback"))</f>
        <v>Pending</v>
      </c>
    </row>
    <row r="346" spans="1:7">
      <c r="A346" s="6" t="str">
        <f>IF(B346="","",_xlfn.XLOOKUP(B346,'All '!B:B,'All '!A:A,"No Found"))</f>
        <v/>
      </c>
      <c r="C346" s="6" t="str">
        <f>IF(B346="","",_xlfn.XLOOKUP($B346,'All '!B:B,'All '!C:C,"No Found"))</f>
        <v/>
      </c>
      <c r="D346" s="6" t="str">
        <f>IF(B346="","",COUNTIF($B$2:B346,B346))</f>
        <v/>
      </c>
      <c r="G346" s="6" t="str">
        <f>IF(F346="","Pending",IF(F346&lt;7,"Weekback","No Weekback"))</f>
        <v>Pending</v>
      </c>
    </row>
    <row r="347" spans="1:7">
      <c r="A347" s="6" t="str">
        <f>IF(B347="","",_xlfn.XLOOKUP(B347,'All '!B:B,'All '!A:A,"No Found"))</f>
        <v/>
      </c>
      <c r="C347" s="6" t="str">
        <f>IF(B347="","",_xlfn.XLOOKUP($B347,'All '!B:B,'All '!C:C,"No Found"))</f>
        <v/>
      </c>
      <c r="D347" s="6" t="str">
        <f>IF(B347="","",COUNTIF($B$2:B347,B347))</f>
        <v/>
      </c>
      <c r="G347" s="6" t="str">
        <f>IF(F347="","Pending",IF(F347&lt;7,"Weekback","No Weekback"))</f>
        <v>Pending</v>
      </c>
    </row>
    <row r="348" spans="1:7">
      <c r="A348" s="6" t="str">
        <f>IF(B348="","",_xlfn.XLOOKUP(B348,'All '!B:B,'All '!A:A,"No Found"))</f>
        <v/>
      </c>
      <c r="C348" s="6" t="str">
        <f>IF(B348="","",_xlfn.XLOOKUP($B348,'All '!B:B,'All '!C:C,"No Found"))</f>
        <v/>
      </c>
      <c r="D348" s="6" t="str">
        <f>IF(B348="","",COUNTIF($B$2:B348,B348))</f>
        <v/>
      </c>
      <c r="G348" s="6" t="str">
        <f>IF(F348="","Pending",IF(F348&lt;7,"Weekback","No Weekback"))</f>
        <v>Pending</v>
      </c>
    </row>
    <row r="349" spans="1:7">
      <c r="A349" s="6" t="str">
        <f>IF(B349="","",_xlfn.XLOOKUP(B349,'All '!B:B,'All '!A:A,"No Found"))</f>
        <v/>
      </c>
      <c r="C349" s="6" t="str">
        <f>IF(B349="","",_xlfn.XLOOKUP($B349,'All '!B:B,'All '!C:C,"No Found"))</f>
        <v/>
      </c>
      <c r="D349" s="6" t="str">
        <f>IF(B349="","",COUNTIF($B$2:B349,B349))</f>
        <v/>
      </c>
      <c r="G349" s="6" t="str">
        <f>IF(F349="","Pending",IF(F349&lt;7,"Weekback","No Weekback"))</f>
        <v>Pending</v>
      </c>
    </row>
    <row r="350" spans="1:7">
      <c r="A350" s="6" t="str">
        <f>IF(B350="","",_xlfn.XLOOKUP(B350,'All '!B:B,'All '!A:A,"No Found"))</f>
        <v/>
      </c>
      <c r="C350" s="6" t="str">
        <f>IF(B350="","",_xlfn.XLOOKUP($B350,'All '!B:B,'All '!C:C,"No Found"))</f>
        <v/>
      </c>
      <c r="D350" s="6" t="str">
        <f>IF(B350="","",COUNTIF($B$2:B350,B350))</f>
        <v/>
      </c>
      <c r="G350" s="6" t="str">
        <f>IF(F350="","Pending",IF(F350&lt;7,"Weekback","No Weekback"))</f>
        <v>Pending</v>
      </c>
    </row>
    <row r="351" spans="1:7">
      <c r="A351" s="6" t="str">
        <f>IF(B351="","",_xlfn.XLOOKUP(B351,'All '!B:B,'All '!A:A,"No Found"))</f>
        <v/>
      </c>
      <c r="C351" s="6" t="str">
        <f>IF(B351="","",_xlfn.XLOOKUP($B351,'All '!B:B,'All '!C:C,"No Found"))</f>
        <v/>
      </c>
      <c r="D351" s="6" t="str">
        <f>IF(B351="","",COUNTIF($B$2:B351,B351))</f>
        <v/>
      </c>
      <c r="G351" s="6" t="str">
        <f>IF(F351="","Pending",IF(F351&lt;7,"Weekback","No Weekback"))</f>
        <v>Pending</v>
      </c>
    </row>
    <row r="352" spans="1:7">
      <c r="A352" s="6" t="str">
        <f>IF(B352="","",_xlfn.XLOOKUP(B352,'All '!B:B,'All '!A:A,"No Found"))</f>
        <v/>
      </c>
      <c r="C352" s="6" t="str">
        <f>IF(B352="","",_xlfn.XLOOKUP($B352,'All '!B:B,'All '!C:C,"No Found"))</f>
        <v/>
      </c>
      <c r="D352" s="6" t="str">
        <f>IF(B352="","",COUNTIF($B$2:B352,B352))</f>
        <v/>
      </c>
      <c r="G352" s="6" t="str">
        <f>IF(F352="","Pending",IF(F352&lt;7,"Weekback","No Weekback"))</f>
        <v>Pending</v>
      </c>
    </row>
    <row r="353" spans="1:7">
      <c r="A353" s="6" t="str">
        <f>IF(B353="","",_xlfn.XLOOKUP(B353,'All '!B:B,'All '!A:A,"No Found"))</f>
        <v/>
      </c>
      <c r="C353" s="6" t="str">
        <f>IF(B353="","",_xlfn.XLOOKUP($B353,'All '!B:B,'All '!C:C,"No Found"))</f>
        <v/>
      </c>
      <c r="D353" s="6" t="str">
        <f>IF(B353="","",COUNTIF($B$2:B353,B353))</f>
        <v/>
      </c>
      <c r="G353" s="6" t="str">
        <f>IF(F353="","Pending",IF(F353&lt;7,"Weekback","No Weekback"))</f>
        <v>Pending</v>
      </c>
    </row>
    <row r="354" spans="1:7">
      <c r="A354" s="6" t="str">
        <f>IF(B354="","",_xlfn.XLOOKUP(B354,'All '!B:B,'All '!A:A,"No Found"))</f>
        <v/>
      </c>
      <c r="C354" s="6" t="str">
        <f>IF(B354="","",_xlfn.XLOOKUP($B354,'All '!B:B,'All '!C:C,"No Found"))</f>
        <v/>
      </c>
      <c r="D354" s="6" t="str">
        <f>IF(B354="","",COUNTIF($B$2:B354,B354))</f>
        <v/>
      </c>
      <c r="G354" s="6" t="str">
        <f>IF(F354="","Pending",IF(F354&lt;7,"Weekback","No Weekback"))</f>
        <v>Pending</v>
      </c>
    </row>
    <row r="355" spans="1:7">
      <c r="A355" s="6" t="str">
        <f>IF(B355="","",_xlfn.XLOOKUP(B355,'All '!B:B,'All '!A:A,"No Found"))</f>
        <v/>
      </c>
      <c r="C355" s="6" t="str">
        <f>IF(B355="","",_xlfn.XLOOKUP($B355,'All '!B:B,'All '!C:C,"No Found"))</f>
        <v/>
      </c>
      <c r="D355" s="6" t="str">
        <f>IF(B355="","",COUNTIF($B$2:B355,B355))</f>
        <v/>
      </c>
      <c r="G355" s="6" t="str">
        <f>IF(F355="","Pending",IF(F355&lt;7,"Weekback","No Weekback"))</f>
        <v>Pending</v>
      </c>
    </row>
    <row r="356" spans="1:7">
      <c r="A356" s="6" t="str">
        <f>IF(B356="","",_xlfn.XLOOKUP(B356,'All '!B:B,'All '!A:A,"No Found"))</f>
        <v/>
      </c>
      <c r="C356" s="6" t="str">
        <f>IF(B356="","",_xlfn.XLOOKUP($B356,'All '!B:B,'All '!C:C,"No Found"))</f>
        <v/>
      </c>
      <c r="D356" s="6" t="str">
        <f>IF(B356="","",COUNTIF($B$2:B356,B356))</f>
        <v/>
      </c>
      <c r="G356" s="6" t="str">
        <f>IF(F356="","Pending",IF(F356&lt;7,"Weekback","No Weekback"))</f>
        <v>Pending</v>
      </c>
    </row>
    <row r="357" spans="1:7">
      <c r="A357" s="6" t="str">
        <f>IF(B357="","",_xlfn.XLOOKUP(B357,'All '!B:B,'All '!A:A,"No Found"))</f>
        <v/>
      </c>
      <c r="C357" s="6" t="str">
        <f>IF(B357="","",_xlfn.XLOOKUP($B357,'All '!B:B,'All '!C:C,"No Found"))</f>
        <v/>
      </c>
      <c r="D357" s="6" t="str">
        <f>IF(B357="","",COUNTIF($B$2:B357,B357))</f>
        <v/>
      </c>
      <c r="G357" s="6" t="str">
        <f>IF(F357="","Pending",IF(F357&lt;7,"Weekback","No Weekback"))</f>
        <v>Pending</v>
      </c>
    </row>
    <row r="358" spans="1:7">
      <c r="A358" s="6" t="str">
        <f>IF(B358="","",_xlfn.XLOOKUP(B358,'All '!B:B,'All '!A:A,"No Found"))</f>
        <v/>
      </c>
      <c r="C358" s="6" t="str">
        <f>IF(B358="","",_xlfn.XLOOKUP($B358,'All '!B:B,'All '!C:C,"No Found"))</f>
        <v/>
      </c>
      <c r="D358" s="6" t="str">
        <f>IF(B358="","",COUNTIF($B$2:B358,B358))</f>
        <v/>
      </c>
      <c r="G358" s="6" t="str">
        <f>IF(F358="","Pending",IF(F358&lt;7,"Weekback","No Weekback"))</f>
        <v>Pending</v>
      </c>
    </row>
    <row r="359" spans="1:7">
      <c r="A359" s="6" t="str">
        <f>IF(B359="","",_xlfn.XLOOKUP(B359,'All '!B:B,'All '!A:A,"No Found"))</f>
        <v/>
      </c>
      <c r="C359" s="6" t="str">
        <f>IF(B359="","",_xlfn.XLOOKUP($B359,'All '!B:B,'All '!C:C,"No Found"))</f>
        <v/>
      </c>
      <c r="D359" s="6" t="str">
        <f>IF(B359="","",COUNTIF($B$2:B359,B359))</f>
        <v/>
      </c>
      <c r="G359" s="6" t="str">
        <f>IF(F359="","Pending",IF(F359&lt;7,"Weekback","No Weekback"))</f>
        <v>Pending</v>
      </c>
    </row>
    <row r="360" spans="1:7">
      <c r="A360" s="6" t="str">
        <f>IF(B360="","",_xlfn.XLOOKUP(B360,'All '!B:B,'All '!A:A,"No Found"))</f>
        <v/>
      </c>
      <c r="C360" s="6" t="str">
        <f>IF(B360="","",_xlfn.XLOOKUP($B360,'All '!B:B,'All '!C:C,"No Found"))</f>
        <v/>
      </c>
      <c r="D360" s="6" t="str">
        <f>IF(B360="","",COUNTIF($B$2:B360,B360))</f>
        <v/>
      </c>
      <c r="G360" s="6" t="str">
        <f>IF(F360="","Pending",IF(F360&lt;7,"Weekback","No Weekback"))</f>
        <v>Pending</v>
      </c>
    </row>
    <row r="361" spans="1:7">
      <c r="A361" s="6" t="str">
        <f>IF(B361="","",_xlfn.XLOOKUP(B361,'All '!B:B,'All '!A:A,"No Found"))</f>
        <v/>
      </c>
      <c r="C361" s="6" t="str">
        <f>IF(B361="","",_xlfn.XLOOKUP($B361,'All '!B:B,'All '!C:C,"No Found"))</f>
        <v/>
      </c>
      <c r="D361" s="6" t="str">
        <f>IF(B361="","",COUNTIF($B$2:B361,B361))</f>
        <v/>
      </c>
      <c r="G361" s="6" t="str">
        <f>IF(F361="","Pending",IF(F361&lt;7,"Weekback","No Weekback"))</f>
        <v>Pending</v>
      </c>
    </row>
    <row r="362" spans="1:7">
      <c r="A362" s="6" t="str">
        <f>IF(B362="","",_xlfn.XLOOKUP(B362,'All '!B:B,'All '!A:A,"No Found"))</f>
        <v/>
      </c>
      <c r="C362" s="6" t="str">
        <f>IF(B362="","",_xlfn.XLOOKUP($B362,'All '!B:B,'All '!C:C,"No Found"))</f>
        <v/>
      </c>
      <c r="D362" s="6" t="str">
        <f>IF(B362="","",COUNTIF($B$2:B362,B362))</f>
        <v/>
      </c>
      <c r="G362" s="6" t="str">
        <f>IF(F362="","Pending",IF(F362&lt;7,"Weekback","No Weekback"))</f>
        <v>Pending</v>
      </c>
    </row>
    <row r="363" spans="1:7">
      <c r="A363" s="6" t="str">
        <f>IF(B363="","",_xlfn.XLOOKUP(B363,'All '!B:B,'All '!A:A,"No Found"))</f>
        <v/>
      </c>
      <c r="C363" s="6" t="str">
        <f>IF(B363="","",_xlfn.XLOOKUP($B363,'All '!B:B,'All '!C:C,"No Found"))</f>
        <v/>
      </c>
      <c r="D363" s="6" t="str">
        <f>IF(B363="","",COUNTIF($B$2:B363,B363))</f>
        <v/>
      </c>
      <c r="G363" s="6" t="str">
        <f>IF(F363="","Pending",IF(F363&lt;7,"Weekback","No Weekback"))</f>
        <v>Pending</v>
      </c>
    </row>
    <row r="364" spans="1:7">
      <c r="A364" s="6" t="str">
        <f>IF(B364="","",_xlfn.XLOOKUP(B364,'All '!B:B,'All '!A:A,"No Found"))</f>
        <v/>
      </c>
      <c r="C364" s="6" t="str">
        <f>IF(B364="","",_xlfn.XLOOKUP($B364,'All '!B:B,'All '!C:C,"No Found"))</f>
        <v/>
      </c>
      <c r="D364" s="6" t="str">
        <f>IF(B364="","",COUNTIF($B$2:B364,B364))</f>
        <v/>
      </c>
      <c r="G364" s="6" t="str">
        <f>IF(F364="","Pending",IF(F364&lt;7,"Weekback","No Weekback"))</f>
        <v>Pending</v>
      </c>
    </row>
    <row r="365" spans="1:7">
      <c r="A365" s="6" t="str">
        <f>IF(B365="","",_xlfn.XLOOKUP(B365,'All '!B:B,'All '!A:A,"No Found"))</f>
        <v/>
      </c>
      <c r="C365" s="6" t="str">
        <f>IF(B365="","",_xlfn.XLOOKUP($B365,'All '!B:B,'All '!C:C,"No Found"))</f>
        <v/>
      </c>
      <c r="D365" s="6" t="str">
        <f>IF(B365="","",COUNTIF($B$2:B365,B365))</f>
        <v/>
      </c>
      <c r="G365" s="6" t="str">
        <f>IF(F365="","Pending",IF(F365&lt;7,"Weekback","No Weekback"))</f>
        <v>Pending</v>
      </c>
    </row>
    <row r="366" spans="1:7">
      <c r="A366" s="6" t="str">
        <f>IF(B366="","",_xlfn.XLOOKUP(B366,'All '!B:B,'All '!A:A,"No Found"))</f>
        <v/>
      </c>
      <c r="C366" s="6" t="str">
        <f>IF(B366="","",_xlfn.XLOOKUP($B366,'All '!B:B,'All '!C:C,"No Found"))</f>
        <v/>
      </c>
      <c r="D366" s="6" t="str">
        <f>IF(B366="","",COUNTIF($B$2:B366,B366))</f>
        <v/>
      </c>
      <c r="G366" s="6" t="str">
        <f>IF(F366="","Pending",IF(F366&lt;7,"Weekback","No Weekback"))</f>
        <v>Pending</v>
      </c>
    </row>
    <row r="367" spans="1:7">
      <c r="A367" s="6" t="str">
        <f>IF(B367="","",_xlfn.XLOOKUP(B367,'All '!B:B,'All '!A:A,"No Found"))</f>
        <v/>
      </c>
      <c r="C367" s="6" t="str">
        <f>IF(B367="","",_xlfn.XLOOKUP($B367,'All '!B:B,'All '!C:C,"No Found"))</f>
        <v/>
      </c>
      <c r="D367" s="6" t="str">
        <f>IF(B367="","",COUNTIF($B$2:B367,B367))</f>
        <v/>
      </c>
      <c r="G367" s="6" t="str">
        <f>IF(F367="","Pending",IF(F367&lt;7,"Weekback","No Weekback"))</f>
        <v>Pending</v>
      </c>
    </row>
    <row r="368" spans="1:7">
      <c r="A368" s="6" t="str">
        <f>IF(B368="","",_xlfn.XLOOKUP(B368,'All '!B:B,'All '!A:A,"No Found"))</f>
        <v/>
      </c>
      <c r="C368" s="6" t="str">
        <f>IF(B368="","",_xlfn.XLOOKUP($B368,'All '!B:B,'All '!C:C,"No Found"))</f>
        <v/>
      </c>
      <c r="D368" s="6" t="str">
        <f>IF(B368="","",COUNTIF($B$2:B368,B368))</f>
        <v/>
      </c>
      <c r="G368" s="6" t="str">
        <f>IF(F368="","Pending",IF(F368&lt;7,"Weekback","No Weekback"))</f>
        <v>Pending</v>
      </c>
    </row>
    <row r="369" spans="1:7">
      <c r="A369" s="6" t="str">
        <f>IF(B369="","",_xlfn.XLOOKUP(B369,'All '!B:B,'All '!A:A,"No Found"))</f>
        <v/>
      </c>
      <c r="C369" s="6" t="str">
        <f>IF(B369="","",_xlfn.XLOOKUP($B369,'All '!B:B,'All '!C:C,"No Found"))</f>
        <v/>
      </c>
      <c r="D369" s="6" t="str">
        <f>IF(B369="","",COUNTIF($B$2:B369,B369))</f>
        <v/>
      </c>
      <c r="G369" s="6" t="str">
        <f>IF(F369="","Pending",IF(F369&lt;7,"Weekback","No Weekback"))</f>
        <v>Pending</v>
      </c>
    </row>
    <row r="370" spans="1:7">
      <c r="A370" s="6" t="str">
        <f>IF(B370="","",_xlfn.XLOOKUP(B370,'All '!B:B,'All '!A:A,"No Found"))</f>
        <v/>
      </c>
      <c r="C370" s="6" t="str">
        <f>IF(B370="","",_xlfn.XLOOKUP($B370,'All '!B:B,'All '!C:C,"No Found"))</f>
        <v/>
      </c>
      <c r="D370" s="6" t="str">
        <f>IF(B370="","",COUNTIF($B$2:B370,B370))</f>
        <v/>
      </c>
      <c r="G370" s="6" t="str">
        <f>IF(F370="","Pending",IF(F370&lt;7,"Weekback","No Weekback"))</f>
        <v>Pending</v>
      </c>
    </row>
    <row r="371" spans="1:7">
      <c r="A371" s="6" t="str">
        <f>IF(B371="","",_xlfn.XLOOKUP(B371,'All '!B:B,'All '!A:A,"No Found"))</f>
        <v/>
      </c>
      <c r="C371" s="6" t="str">
        <f>IF(B371="","",_xlfn.XLOOKUP($B371,'All '!B:B,'All '!C:C,"No Found"))</f>
        <v/>
      </c>
      <c r="D371" s="6" t="str">
        <f>IF(B371="","",COUNTIF($B$2:B371,B371))</f>
        <v/>
      </c>
      <c r="G371" s="6" t="str">
        <f>IF(F371="","Pending",IF(F371&lt;7,"Weekback","No Weekback"))</f>
        <v>Pending</v>
      </c>
    </row>
    <row r="372" spans="1:7">
      <c r="A372" s="6" t="str">
        <f>IF(B372="","",_xlfn.XLOOKUP(B372,'All '!B:B,'All '!A:A,"No Found"))</f>
        <v/>
      </c>
      <c r="C372" s="6" t="str">
        <f>IF(B372="","",_xlfn.XLOOKUP($B372,'All '!B:B,'All '!C:C,"No Found"))</f>
        <v/>
      </c>
      <c r="D372" s="6" t="str">
        <f>IF(B372="","",COUNTIF($B$2:B372,B372))</f>
        <v/>
      </c>
      <c r="G372" s="6" t="str">
        <f>IF(F372="","Pending",IF(F372&lt;7,"Weekback","No Weekback"))</f>
        <v>Pending</v>
      </c>
    </row>
    <row r="373" spans="1:7">
      <c r="A373" s="6" t="str">
        <f>IF(B373="","",_xlfn.XLOOKUP(B373,'All '!B:B,'All '!A:A,"No Found"))</f>
        <v/>
      </c>
      <c r="C373" s="6" t="str">
        <f>IF(B373="","",_xlfn.XLOOKUP($B373,'All '!B:B,'All '!C:C,"No Found"))</f>
        <v/>
      </c>
      <c r="D373" s="6" t="str">
        <f>IF(B373="","",COUNTIF($B$2:B373,B373))</f>
        <v/>
      </c>
      <c r="G373" s="6" t="str">
        <f>IF(F373="","Pending",IF(F373&lt;7,"Weekback","No Weekback"))</f>
        <v>Pending</v>
      </c>
    </row>
    <row r="374" spans="1:7">
      <c r="A374" s="6" t="str">
        <f>IF(B374="","",_xlfn.XLOOKUP(B374,'All '!B:B,'All '!A:A,"No Found"))</f>
        <v/>
      </c>
      <c r="C374" s="6" t="str">
        <f>IF(B374="","",_xlfn.XLOOKUP($B374,'All '!B:B,'All '!C:C,"No Found"))</f>
        <v/>
      </c>
      <c r="D374" s="6" t="str">
        <f>IF(B374="","",COUNTIF($B$2:B374,B374))</f>
        <v/>
      </c>
      <c r="G374" s="6" t="str">
        <f>IF(F374="","Pending",IF(F374&lt;7,"Weekback","No Weekback"))</f>
        <v>Pending</v>
      </c>
    </row>
    <row r="375" spans="1:7">
      <c r="A375" s="6" t="str">
        <f>IF(B375="","",_xlfn.XLOOKUP(B375,'All '!B:B,'All '!A:A,"No Found"))</f>
        <v/>
      </c>
      <c r="C375" s="6" t="str">
        <f>IF(B375="","",_xlfn.XLOOKUP($B375,'All '!B:B,'All '!C:C,"No Found"))</f>
        <v/>
      </c>
      <c r="D375" s="6" t="str">
        <f>IF(B375="","",COUNTIF($B$2:B375,B375))</f>
        <v/>
      </c>
      <c r="G375" s="6" t="str">
        <f>IF(F375="","Pending",IF(F375&lt;7,"Weekback","No Weekback"))</f>
        <v>Pending</v>
      </c>
    </row>
    <row r="376" spans="1:7">
      <c r="A376" s="6" t="str">
        <f>IF(B376="","",_xlfn.XLOOKUP(B376,'All '!B:B,'All '!A:A,"No Found"))</f>
        <v/>
      </c>
      <c r="C376" s="6" t="str">
        <f>IF(B376="","",_xlfn.XLOOKUP($B376,'All '!B:B,'All '!C:C,"No Found"))</f>
        <v/>
      </c>
      <c r="D376" s="6" t="str">
        <f>IF(B376="","",COUNTIF($B$2:B376,B376))</f>
        <v/>
      </c>
      <c r="G376" s="6" t="str">
        <f>IF(F376="","Pending",IF(F376&lt;7,"Weekback","No Weekback"))</f>
        <v>Pending</v>
      </c>
    </row>
    <row r="377" spans="1:7">
      <c r="A377" s="6" t="str">
        <f>IF(B377="","",_xlfn.XLOOKUP(B377,'All '!B:B,'All '!A:A,"No Found"))</f>
        <v/>
      </c>
      <c r="C377" s="6" t="str">
        <f>IF(B377="","",_xlfn.XLOOKUP($B377,'All '!B:B,'All '!C:C,"No Found"))</f>
        <v/>
      </c>
      <c r="D377" s="6" t="str">
        <f>IF(B377="","",COUNTIF($B$2:B377,B377))</f>
        <v/>
      </c>
      <c r="G377" s="6" t="str">
        <f>IF(F377="","Pending",IF(F377&lt;7,"Weekback","No Weekback"))</f>
        <v>Pending</v>
      </c>
    </row>
    <row r="378" spans="1:7">
      <c r="A378" s="6" t="str">
        <f>IF(B378="","",_xlfn.XLOOKUP(B378,'All '!B:B,'All '!A:A,"No Found"))</f>
        <v/>
      </c>
      <c r="C378" s="6" t="str">
        <f>IF(B378="","",_xlfn.XLOOKUP($B378,'All '!B:B,'All '!C:C,"No Found"))</f>
        <v/>
      </c>
      <c r="D378" s="6" t="str">
        <f>IF(B378="","",COUNTIF($B$2:B378,B378))</f>
        <v/>
      </c>
      <c r="G378" s="6" t="str">
        <f>IF(F378="","Pending",IF(F378&lt;7,"Weekback","No Weekback"))</f>
        <v>Pending</v>
      </c>
    </row>
    <row r="379" spans="1:7">
      <c r="A379" s="6" t="str">
        <f>IF(B379="","",_xlfn.XLOOKUP(B379,'All '!B:B,'All '!A:A,"No Found"))</f>
        <v/>
      </c>
      <c r="C379" s="6" t="str">
        <f>IF(B379="","",_xlfn.XLOOKUP($B379,'All '!B:B,'All '!C:C,"No Found"))</f>
        <v/>
      </c>
      <c r="D379" s="6" t="str">
        <f>IF(B379="","",COUNTIF($B$2:B379,B379))</f>
        <v/>
      </c>
      <c r="G379" s="6" t="str">
        <f>IF(F379="","Pending",IF(F379&lt;7,"Weekback","No Weekback"))</f>
        <v>Pending</v>
      </c>
    </row>
    <row r="380" spans="1:7">
      <c r="A380" s="6" t="str">
        <f>IF(B380="","",_xlfn.XLOOKUP(B380,'All '!B:B,'All '!A:A,"No Found"))</f>
        <v/>
      </c>
      <c r="C380" s="6" t="str">
        <f>IF(B380="","",_xlfn.XLOOKUP($B380,'All '!B:B,'All '!C:C,"No Found"))</f>
        <v/>
      </c>
      <c r="D380" s="6" t="str">
        <f>IF(B380="","",COUNTIF($B$2:B380,B380))</f>
        <v/>
      </c>
      <c r="G380" s="6" t="str">
        <f>IF(F380="","Pending",IF(F380&lt;7,"Weekback","No Weekback"))</f>
        <v>Pending</v>
      </c>
    </row>
    <row r="381" spans="1:7">
      <c r="A381" s="6" t="str">
        <f>IF(B381="","",_xlfn.XLOOKUP(B381,'All '!B:B,'All '!A:A,"No Found"))</f>
        <v/>
      </c>
      <c r="C381" s="6" t="str">
        <f>IF(B381="","",_xlfn.XLOOKUP($B381,'All '!B:B,'All '!C:C,"No Found"))</f>
        <v/>
      </c>
      <c r="D381" s="6" t="str">
        <f>IF(B381="","",COUNTIF($B$2:B381,B381))</f>
        <v/>
      </c>
      <c r="G381" s="6" t="str">
        <f>IF(F381="","Pending",IF(F381&lt;7,"Weekback","No Weekback"))</f>
        <v>Pending</v>
      </c>
    </row>
    <row r="382" spans="1:7">
      <c r="A382" s="6" t="str">
        <f>IF(B382="","",_xlfn.XLOOKUP(B382,'All '!B:B,'All '!A:A,"No Found"))</f>
        <v/>
      </c>
      <c r="C382" s="6" t="str">
        <f>IF(B382="","",_xlfn.XLOOKUP($B382,'All '!B:B,'All '!C:C,"No Found"))</f>
        <v/>
      </c>
      <c r="D382" s="6" t="str">
        <f>IF(B382="","",COUNTIF($B$2:B382,B382))</f>
        <v/>
      </c>
      <c r="G382" s="6" t="str">
        <f>IF(F382="","Pending",IF(F382&lt;7,"Weekback","No Weekback"))</f>
        <v>Pending</v>
      </c>
    </row>
    <row r="383" spans="1:7">
      <c r="A383" s="6" t="str">
        <f>IF(B383="","",_xlfn.XLOOKUP(B383,'All '!B:B,'All '!A:A,"No Found"))</f>
        <v/>
      </c>
      <c r="C383" s="6" t="str">
        <f>IF(B383="","",_xlfn.XLOOKUP($B383,'All '!B:B,'All '!C:C,"No Found"))</f>
        <v/>
      </c>
      <c r="D383" s="6" t="str">
        <f>IF(B383="","",COUNTIF($B$2:B383,B383))</f>
        <v/>
      </c>
      <c r="G383" s="6" t="str">
        <f>IF(F383="","Pending",IF(F383&lt;7,"Weekback","No Weekback"))</f>
        <v>Pending</v>
      </c>
    </row>
    <row r="384" spans="1:7">
      <c r="A384" s="6" t="str">
        <f>IF(B384="","",_xlfn.XLOOKUP(B384,'All '!B:B,'All '!A:A,"No Found"))</f>
        <v/>
      </c>
      <c r="C384" s="6" t="str">
        <f>IF(B384="","",_xlfn.XLOOKUP($B384,'All '!B:B,'All '!C:C,"No Found"))</f>
        <v/>
      </c>
      <c r="D384" s="6" t="str">
        <f>IF(B384="","",COUNTIF($B$2:B384,B384))</f>
        <v/>
      </c>
      <c r="G384" s="6" t="str">
        <f>IF(F384="","Pending",IF(F384&lt;7,"Weekback","No Weekback"))</f>
        <v>Pending</v>
      </c>
    </row>
    <row r="385" spans="1:7">
      <c r="A385" s="6" t="str">
        <f>IF(B385="","",_xlfn.XLOOKUP(B385,'All '!B:B,'All '!A:A,"No Found"))</f>
        <v/>
      </c>
      <c r="C385" s="6" t="str">
        <f>IF(B385="","",_xlfn.XLOOKUP($B385,'All '!B:B,'All '!C:C,"No Found"))</f>
        <v/>
      </c>
      <c r="D385" s="6" t="str">
        <f>IF(B385="","",COUNTIF($B$2:B385,B385))</f>
        <v/>
      </c>
      <c r="G385" s="6" t="str">
        <f>IF(F385="","Pending",IF(F385&lt;7,"Weekback","No Weekback"))</f>
        <v>Pending</v>
      </c>
    </row>
    <row r="386" spans="1:7">
      <c r="A386" s="6" t="str">
        <f>IF(B386="","",_xlfn.XLOOKUP(B386,'All '!B:B,'All '!A:A,"No Found"))</f>
        <v/>
      </c>
      <c r="C386" s="6" t="str">
        <f>IF(B386="","",_xlfn.XLOOKUP($B386,'All '!B:B,'All '!C:C,"No Found"))</f>
        <v/>
      </c>
      <c r="D386" s="6" t="str">
        <f>IF(B386="","",COUNTIF($B$2:B386,B386))</f>
        <v/>
      </c>
      <c r="G386" s="6" t="str">
        <f>IF(F386="","Pending",IF(F386&lt;7,"Weekback","No Weekback"))</f>
        <v>Pending</v>
      </c>
    </row>
    <row r="387" spans="1:7">
      <c r="A387" s="6" t="str">
        <f>IF(B387="","",_xlfn.XLOOKUP(B387,'All '!B:B,'All '!A:A,"No Found"))</f>
        <v/>
      </c>
      <c r="C387" s="6" t="str">
        <f>IF(B387="","",_xlfn.XLOOKUP($B387,'All '!B:B,'All '!C:C,"No Found"))</f>
        <v/>
      </c>
      <c r="D387" s="6" t="str">
        <f>IF(B387="","",COUNTIF($B$2:B387,B387))</f>
        <v/>
      </c>
      <c r="G387" s="6" t="str">
        <f>IF(F387="","Pending",IF(F387&lt;7,"Weekback","No Weekback"))</f>
        <v>Pending</v>
      </c>
    </row>
    <row r="388" spans="1:7">
      <c r="A388" s="6" t="str">
        <f>IF(B388="","",_xlfn.XLOOKUP(B388,'All '!B:B,'All '!A:A,"No Found"))</f>
        <v/>
      </c>
      <c r="C388" s="6" t="str">
        <f>IF(B388="","",_xlfn.XLOOKUP($B388,'All '!B:B,'All '!C:C,"No Found"))</f>
        <v/>
      </c>
      <c r="D388" s="6" t="str">
        <f>IF(B388="","",COUNTIF($B$2:B388,B388))</f>
        <v/>
      </c>
      <c r="G388" s="6" t="str">
        <f>IF(F388="","Pending",IF(F388&lt;7,"Weekback","No Weekback"))</f>
        <v>Pending</v>
      </c>
    </row>
    <row r="389" spans="1:7">
      <c r="A389" s="6" t="str">
        <f>IF(B389="","",_xlfn.XLOOKUP(B389,'All '!B:B,'All '!A:A,"No Found"))</f>
        <v/>
      </c>
      <c r="C389" s="6" t="str">
        <f>IF(B389="","",_xlfn.XLOOKUP($B389,'All '!B:B,'All '!C:C,"No Found"))</f>
        <v/>
      </c>
      <c r="D389" s="6" t="str">
        <f>IF(B389="","",COUNTIF($B$2:B389,B389))</f>
        <v/>
      </c>
      <c r="G389" s="6" t="str">
        <f>IF(F389="","Pending",IF(F389&lt;7,"Weekback","No Weekback"))</f>
        <v>Pending</v>
      </c>
    </row>
    <row r="390" spans="1:7">
      <c r="A390" s="6" t="str">
        <f>IF(B390="","",_xlfn.XLOOKUP(B390,'All '!B:B,'All '!A:A,"No Found"))</f>
        <v/>
      </c>
      <c r="C390" s="6" t="str">
        <f>IF(B390="","",_xlfn.XLOOKUP($B390,'All '!B:B,'All '!C:C,"No Found"))</f>
        <v/>
      </c>
      <c r="D390" s="6" t="str">
        <f>IF(B390="","",COUNTIF($B$2:B390,B390))</f>
        <v/>
      </c>
      <c r="G390" s="6" t="str">
        <f>IF(F390="","Pending",IF(F390&lt;7,"Weekback","No Weekback"))</f>
        <v>Pending</v>
      </c>
    </row>
    <row r="391" spans="1:7">
      <c r="A391" s="6" t="str">
        <f>IF(B391="","",_xlfn.XLOOKUP(B391,'All '!B:B,'All '!A:A,"No Found"))</f>
        <v/>
      </c>
      <c r="C391" s="6" t="str">
        <f>IF(B391="","",_xlfn.XLOOKUP($B391,'All '!B:B,'All '!C:C,"No Found"))</f>
        <v/>
      </c>
      <c r="D391" s="6" t="str">
        <f>IF(B391="","",COUNTIF($B$2:B391,B391))</f>
        <v/>
      </c>
      <c r="G391" s="6" t="str">
        <f>IF(F391="","Pending",IF(F391&lt;7,"Weekback","No Weekback"))</f>
        <v>Pending</v>
      </c>
    </row>
    <row r="392" spans="1:7">
      <c r="A392" s="6" t="str">
        <f>IF(B392="","",_xlfn.XLOOKUP(B392,'All '!B:B,'All '!A:A,"No Found"))</f>
        <v/>
      </c>
      <c r="C392" s="6" t="str">
        <f>IF(B392="","",_xlfn.XLOOKUP($B392,'All '!B:B,'All '!C:C,"No Found"))</f>
        <v/>
      </c>
      <c r="D392" s="6" t="str">
        <f>IF(B392="","",COUNTIF($B$2:B392,B392))</f>
        <v/>
      </c>
      <c r="G392" s="6" t="str">
        <f>IF(F392="","Pending",IF(F392&lt;7,"Weekback","No Weekback"))</f>
        <v>Pending</v>
      </c>
    </row>
    <row r="393" spans="1:7">
      <c r="A393" s="6" t="str">
        <f>IF(B393="","",_xlfn.XLOOKUP(B393,'All '!B:B,'All '!A:A,"No Found"))</f>
        <v/>
      </c>
      <c r="C393" s="6" t="str">
        <f>IF(B393="","",_xlfn.XLOOKUP($B393,'All '!B:B,'All '!C:C,"No Found"))</f>
        <v/>
      </c>
      <c r="D393" s="6" t="str">
        <f>IF(B393="","",COUNTIF($B$2:B393,B393))</f>
        <v/>
      </c>
      <c r="G393" s="6" t="str">
        <f>IF(F393="","Pending",IF(F393&lt;7,"Weekback","No Weekback"))</f>
        <v>Pending</v>
      </c>
    </row>
    <row r="394" spans="1:7">
      <c r="A394" s="6" t="str">
        <f>IF(B394="","",_xlfn.XLOOKUP(B394,'All '!B:B,'All '!A:A,"No Found"))</f>
        <v/>
      </c>
      <c r="C394" s="6" t="str">
        <f>IF(B394="","",_xlfn.XLOOKUP($B394,'All '!B:B,'All '!C:C,"No Found"))</f>
        <v/>
      </c>
      <c r="D394" s="6" t="str">
        <f>IF(B394="","",COUNTIF($B$2:B394,B394))</f>
        <v/>
      </c>
      <c r="G394" s="6" t="str">
        <f>IF(F394="","Pending",IF(F394&lt;7,"Weekback","No Weekback"))</f>
        <v>Pending</v>
      </c>
    </row>
    <row r="395" spans="1:7">
      <c r="A395" s="6" t="str">
        <f>IF(B395="","",_xlfn.XLOOKUP(B395,'All '!B:B,'All '!A:A,"No Found"))</f>
        <v/>
      </c>
      <c r="C395" s="6" t="str">
        <f>IF(B395="","",_xlfn.XLOOKUP($B395,'All '!B:B,'All '!C:C,"No Found"))</f>
        <v/>
      </c>
      <c r="D395" s="6" t="str">
        <f>IF(B395="","",COUNTIF($B$2:B395,B395))</f>
        <v/>
      </c>
      <c r="G395" s="6" t="str">
        <f>IF(F395="","Pending",IF(F395&lt;7,"Weekback","No Weekback"))</f>
        <v>Pending</v>
      </c>
    </row>
    <row r="396" spans="1:7">
      <c r="A396" s="6" t="str">
        <f>IF(B396="","",_xlfn.XLOOKUP(B396,'All '!B:B,'All '!A:A,"No Found"))</f>
        <v/>
      </c>
      <c r="C396" s="6" t="str">
        <f>IF(B396="","",_xlfn.XLOOKUP($B396,'All '!B:B,'All '!C:C,"No Found"))</f>
        <v/>
      </c>
      <c r="D396" s="6" t="str">
        <f>IF(B396="","",COUNTIF($B$2:B396,B396))</f>
        <v/>
      </c>
      <c r="G396" s="6" t="str">
        <f>IF(F396="","Pending",IF(F396&lt;7,"Weekback","No Weekback"))</f>
        <v>Pending</v>
      </c>
    </row>
    <row r="397" spans="1:7">
      <c r="A397" s="6" t="str">
        <f>IF(B397="","",_xlfn.XLOOKUP(B397,'All '!B:B,'All '!A:A,"No Found"))</f>
        <v/>
      </c>
      <c r="C397" s="6" t="str">
        <f>IF(B397="","",_xlfn.XLOOKUP($B397,'All '!B:B,'All '!C:C,"No Found"))</f>
        <v/>
      </c>
      <c r="D397" s="6" t="str">
        <f>IF(B397="","",COUNTIF($B$2:B397,B397))</f>
        <v/>
      </c>
      <c r="G397" s="6" t="str">
        <f>IF(F397="","Pending",IF(F397&lt;7,"Weekback","No Weekback"))</f>
        <v>Pending</v>
      </c>
    </row>
    <row r="398" spans="1:7">
      <c r="A398" s="6" t="str">
        <f>IF(B398="","",_xlfn.XLOOKUP(B398,'All '!B:B,'All '!A:A,"No Found"))</f>
        <v/>
      </c>
      <c r="C398" s="6" t="str">
        <f>IF(B398="","",_xlfn.XLOOKUP($B398,'All '!B:B,'All '!C:C,"No Found"))</f>
        <v/>
      </c>
      <c r="D398" s="6" t="str">
        <f>IF(B398="","",COUNTIF($B$2:B398,B398))</f>
        <v/>
      </c>
      <c r="G398" s="6" t="str">
        <f>IF(F398="","Pending",IF(F398&lt;7,"Weekback","No Weekback"))</f>
        <v>Pending</v>
      </c>
    </row>
    <row r="399" spans="1:7">
      <c r="A399" s="6" t="str">
        <f>IF(B399="","",_xlfn.XLOOKUP(B399,'All '!B:B,'All '!A:A,"No Found"))</f>
        <v/>
      </c>
      <c r="C399" s="6" t="str">
        <f>IF(B399="","",_xlfn.XLOOKUP($B399,'All '!B:B,'All '!C:C,"No Found"))</f>
        <v/>
      </c>
      <c r="D399" s="6" t="str">
        <f>IF(B399="","",COUNTIF($B$2:B399,B399))</f>
        <v/>
      </c>
      <c r="G399" s="6" t="str">
        <f>IF(F399="","Pending",IF(F399&lt;7,"Weekback","No Weekback"))</f>
        <v>Pending</v>
      </c>
    </row>
    <row r="400" spans="1:7">
      <c r="A400" s="6" t="str">
        <f>IF(B400="","",_xlfn.XLOOKUP(B400,'All '!B:B,'All '!A:A,"No Found"))</f>
        <v/>
      </c>
      <c r="C400" s="6" t="str">
        <f>IF(B400="","",_xlfn.XLOOKUP($B400,'All '!B:B,'All '!C:C,"No Found"))</f>
        <v/>
      </c>
      <c r="D400" s="6" t="str">
        <f>IF(B400="","",COUNTIF($B$2:B400,B400))</f>
        <v/>
      </c>
      <c r="G400" s="6" t="str">
        <f>IF(F400="","Pending",IF(F400&lt;7,"Weekback","No Weekback"))</f>
        <v>Pending</v>
      </c>
    </row>
    <row r="401" spans="1:7">
      <c r="A401" s="6" t="str">
        <f>IF(B401="","",_xlfn.XLOOKUP(B401,'All '!B:B,'All '!A:A,"No Found"))</f>
        <v/>
      </c>
      <c r="C401" s="6" t="str">
        <f>IF(B401="","",_xlfn.XLOOKUP($B401,'All '!B:B,'All '!C:C,"No Found"))</f>
        <v/>
      </c>
      <c r="D401" s="6" t="str">
        <f>IF(B401="","",COUNTIF($B$2:B401,B401))</f>
        <v/>
      </c>
      <c r="G401" s="6" t="str">
        <f>IF(F401="","Pending",IF(F401&lt;7,"Weekback","No Weekback"))</f>
        <v>Pending</v>
      </c>
    </row>
    <row r="402" spans="1:7">
      <c r="A402" s="6" t="str">
        <f>IF(B402="","",_xlfn.XLOOKUP(B402,'All '!B:B,'All '!A:A,"No Found"))</f>
        <v/>
      </c>
      <c r="C402" s="6" t="str">
        <f>IF(B402="","",_xlfn.XLOOKUP($B402,'All '!B:B,'All '!C:C,"No Found"))</f>
        <v/>
      </c>
      <c r="D402" s="6" t="str">
        <f>IF(B402="","",COUNTIF($B$2:B402,B402))</f>
        <v/>
      </c>
      <c r="G402" s="6" t="str">
        <f>IF(F402="","Pending",IF(F402&lt;7,"Weekback","No Weekback"))</f>
        <v>Pending</v>
      </c>
    </row>
    <row r="403" spans="1:7">
      <c r="A403" s="6" t="str">
        <f>IF(B403="","",_xlfn.XLOOKUP(B403,'All '!B:B,'All '!A:A,"No Found"))</f>
        <v/>
      </c>
      <c r="C403" s="6" t="str">
        <f>IF(B403="","",_xlfn.XLOOKUP($B403,'All '!B:B,'All '!C:C,"No Found"))</f>
        <v/>
      </c>
      <c r="D403" s="6" t="str">
        <f>IF(B403="","",COUNTIF($B$2:B403,B403))</f>
        <v/>
      </c>
      <c r="G403" s="6" t="str">
        <f>IF(F403="","Pending",IF(F403&lt;7,"Weekback","No Weekback"))</f>
        <v>Pending</v>
      </c>
    </row>
    <row r="404" spans="1:7">
      <c r="A404" s="6" t="str">
        <f>IF(B404="","",_xlfn.XLOOKUP(B404,'All '!B:B,'All '!A:A,"No Found"))</f>
        <v/>
      </c>
      <c r="C404" s="6" t="str">
        <f>IF(B404="","",_xlfn.XLOOKUP($B404,'All '!B:B,'All '!C:C,"No Found"))</f>
        <v/>
      </c>
      <c r="D404" s="6" t="str">
        <f>IF(B404="","",COUNTIF($B$2:B404,B404))</f>
        <v/>
      </c>
      <c r="G404" s="6" t="str">
        <f>IF(F404="","Pending",IF(F404&lt;7,"Weekback","No Weekback"))</f>
        <v>Pending</v>
      </c>
    </row>
    <row r="405" spans="1:7">
      <c r="A405" s="6" t="str">
        <f>IF(B405="","",_xlfn.XLOOKUP(B405,'All '!B:B,'All '!A:A,"No Found"))</f>
        <v/>
      </c>
      <c r="C405" s="6" t="str">
        <f>IF(B405="","",_xlfn.XLOOKUP($B405,'All '!B:B,'All '!C:C,"No Found"))</f>
        <v/>
      </c>
      <c r="D405" s="6" t="str">
        <f>IF(B405="","",COUNTIF($B$2:B405,B405))</f>
        <v/>
      </c>
      <c r="G405" s="6" t="str">
        <f>IF(F405="","Pending",IF(F405&lt;7,"Weekback","No Weekback"))</f>
        <v>Pending</v>
      </c>
    </row>
    <row r="406" spans="1:7">
      <c r="A406" s="6" t="str">
        <f>IF(B406="","",_xlfn.XLOOKUP(B406,'All '!B:B,'All '!A:A,"No Found"))</f>
        <v/>
      </c>
      <c r="C406" s="6" t="str">
        <f>IF(B406="","",_xlfn.XLOOKUP($B406,'All '!B:B,'All '!C:C,"No Found"))</f>
        <v/>
      </c>
      <c r="D406" s="6" t="str">
        <f>IF(B406="","",COUNTIF($B$2:B406,B406))</f>
        <v/>
      </c>
      <c r="G406" s="6" t="str">
        <f>IF(F406="","Pending",IF(F406&lt;7,"Weekback","No Weekback"))</f>
        <v>Pending</v>
      </c>
    </row>
    <row r="407" spans="1:7">
      <c r="A407" s="6" t="str">
        <f>IF(B407="","",_xlfn.XLOOKUP(B407,'All '!B:B,'All '!A:A,"No Found"))</f>
        <v/>
      </c>
      <c r="C407" s="6" t="str">
        <f>IF(B407="","",_xlfn.XLOOKUP($B407,'All '!B:B,'All '!C:C,"No Found"))</f>
        <v/>
      </c>
      <c r="D407" s="6" t="str">
        <f>IF(B407="","",COUNTIF($B$2:B407,B407))</f>
        <v/>
      </c>
      <c r="G407" s="6" t="str">
        <f>IF(F407="","Pending",IF(F407&lt;7,"Weekback","No Weekback"))</f>
        <v>Pending</v>
      </c>
    </row>
    <row r="408" spans="1:7">
      <c r="A408" s="6" t="str">
        <f>IF(B408="","",_xlfn.XLOOKUP(B408,'All '!B:B,'All '!A:A,"No Found"))</f>
        <v/>
      </c>
      <c r="C408" s="6" t="str">
        <f>IF(B408="","",_xlfn.XLOOKUP($B408,'All '!B:B,'All '!C:C,"No Found"))</f>
        <v/>
      </c>
      <c r="D408" s="6" t="str">
        <f>IF(B408="","",COUNTIF($B$2:B408,B408))</f>
        <v/>
      </c>
      <c r="G408" s="6" t="str">
        <f>IF(F408="","Pending",IF(F408&lt;7,"Weekback","No Weekback"))</f>
        <v>Pending</v>
      </c>
    </row>
    <row r="409" spans="1:7">
      <c r="A409" s="6" t="str">
        <f>IF(B409="","",_xlfn.XLOOKUP(B409,'All '!B:B,'All '!A:A,"No Found"))</f>
        <v/>
      </c>
      <c r="C409" s="6" t="str">
        <f>IF(B409="","",_xlfn.XLOOKUP($B409,'All '!B:B,'All '!C:C,"No Found"))</f>
        <v/>
      </c>
      <c r="D409" s="6" t="str">
        <f>IF(B409="","",COUNTIF($B$2:B409,B409))</f>
        <v/>
      </c>
      <c r="G409" s="6" t="str">
        <f>IF(F409="","Pending",IF(F409&lt;7,"Weekback","No Weekback"))</f>
        <v>Pending</v>
      </c>
    </row>
    <row r="410" spans="1:7">
      <c r="A410" s="6" t="str">
        <f>IF(B410="","",_xlfn.XLOOKUP(B410,'All '!B:B,'All '!A:A,"No Found"))</f>
        <v/>
      </c>
      <c r="C410" s="6" t="str">
        <f>IF(B410="","",_xlfn.XLOOKUP($B410,'All '!B:B,'All '!C:C,"No Found"))</f>
        <v/>
      </c>
      <c r="D410" s="6" t="str">
        <f>IF(B410="","",COUNTIF($B$2:B410,B410))</f>
        <v/>
      </c>
      <c r="G410" s="6" t="str">
        <f>IF(F410="","Pending",IF(F410&lt;7,"Weekback","No Weekback"))</f>
        <v>Pending</v>
      </c>
    </row>
    <row r="411" spans="1:7">
      <c r="A411" s="6" t="str">
        <f>IF(B411="","",_xlfn.XLOOKUP(B411,'All '!B:B,'All '!A:A,"No Found"))</f>
        <v/>
      </c>
      <c r="C411" s="6" t="str">
        <f>IF(B411="","",_xlfn.XLOOKUP($B411,'All '!B:B,'All '!C:C,"No Found"))</f>
        <v/>
      </c>
      <c r="D411" s="6" t="str">
        <f>IF(B411="","",COUNTIF($B$2:B411,B411))</f>
        <v/>
      </c>
      <c r="G411" s="6" t="str">
        <f>IF(F411="","Pending",IF(F411&lt;7,"Weekback","No Weekback"))</f>
        <v>Pending</v>
      </c>
    </row>
    <row r="412" spans="1:7">
      <c r="A412" s="6" t="str">
        <f>IF(B412="","",_xlfn.XLOOKUP(B412,'All '!B:B,'All '!A:A,"No Found"))</f>
        <v/>
      </c>
      <c r="C412" s="6" t="str">
        <f>IF(B412="","",_xlfn.XLOOKUP($B412,'All '!B:B,'All '!C:C,"No Found"))</f>
        <v/>
      </c>
      <c r="D412" s="6" t="str">
        <f>IF(B412="","",COUNTIF($B$2:B412,B412))</f>
        <v/>
      </c>
      <c r="G412" s="6" t="str">
        <f>IF(F412="","Pending",IF(F412&lt;7,"Weekback","No Weekback"))</f>
        <v>Pending</v>
      </c>
    </row>
    <row r="413" spans="1:7">
      <c r="A413" s="6" t="str">
        <f>IF(B413="","",_xlfn.XLOOKUP(B413,'All '!B:B,'All '!A:A,"No Found"))</f>
        <v/>
      </c>
      <c r="C413" s="6" t="str">
        <f>IF(B413="","",_xlfn.XLOOKUP($B413,'All '!B:B,'All '!C:C,"No Found"))</f>
        <v/>
      </c>
      <c r="D413" s="6" t="str">
        <f>IF(B413="","",COUNTIF($B$2:B413,B413))</f>
        <v/>
      </c>
      <c r="G413" s="6" t="str">
        <f>IF(F413="","Pending",IF(F413&lt;7,"Weekback","No Weekback"))</f>
        <v>Pending</v>
      </c>
    </row>
    <row r="414" spans="1:7">
      <c r="A414" s="6" t="str">
        <f>IF(B414="","",_xlfn.XLOOKUP(B414,'All '!B:B,'All '!A:A,"No Found"))</f>
        <v/>
      </c>
      <c r="C414" s="6" t="str">
        <f>IF(B414="","",_xlfn.XLOOKUP($B414,'All '!B:B,'All '!C:C,"No Found"))</f>
        <v/>
      </c>
      <c r="D414" s="6" t="str">
        <f>IF(B414="","",COUNTIF($B$2:B414,B414))</f>
        <v/>
      </c>
      <c r="G414" s="6" t="str">
        <f>IF(F414="","Pending",IF(F414&lt;7,"Weekback","No Weekback"))</f>
        <v>Pending</v>
      </c>
    </row>
    <row r="415" spans="1:7">
      <c r="A415" s="6" t="str">
        <f>IF(B415="","",_xlfn.XLOOKUP(B415,'All '!B:B,'All '!A:A,"No Found"))</f>
        <v/>
      </c>
      <c r="C415" s="6" t="str">
        <f>IF(B415="","",_xlfn.XLOOKUP($B415,'All '!B:B,'All '!C:C,"No Found"))</f>
        <v/>
      </c>
      <c r="D415" s="6" t="str">
        <f>IF(B415="","",COUNTIF($B$2:B415,B415))</f>
        <v/>
      </c>
      <c r="G415" s="6" t="str">
        <f>IF(F415="","Pending",IF(F415&lt;7,"Weekback","No Weekback"))</f>
        <v>Pending</v>
      </c>
    </row>
    <row r="416" spans="1:7">
      <c r="A416" s="6" t="str">
        <f>IF(B416="","",_xlfn.XLOOKUP(B416,'All '!B:B,'All '!A:A,"No Found"))</f>
        <v/>
      </c>
      <c r="C416" s="6" t="str">
        <f>IF(B416="","",_xlfn.XLOOKUP($B416,'All '!B:B,'All '!C:C,"No Found"))</f>
        <v/>
      </c>
      <c r="D416" s="6" t="str">
        <f>IF(B416="","",COUNTIF($B$2:B416,B416))</f>
        <v/>
      </c>
      <c r="G416" s="6" t="str">
        <f>IF(F416="","Pending",IF(F416&lt;7,"Weekback","No Weekback"))</f>
        <v>Pending</v>
      </c>
    </row>
    <row r="417" spans="1:7">
      <c r="A417" s="6" t="str">
        <f>IF(B417="","",_xlfn.XLOOKUP(B417,'All '!B:B,'All '!A:A,"No Found"))</f>
        <v/>
      </c>
      <c r="C417" s="6" t="str">
        <f>IF(B417="","",_xlfn.XLOOKUP($B417,'All '!B:B,'All '!C:C,"No Found"))</f>
        <v/>
      </c>
      <c r="D417" s="6" t="str">
        <f>IF(B417="","",COUNTIF($B$2:B417,B417))</f>
        <v/>
      </c>
      <c r="G417" s="6" t="str">
        <f>IF(F417="","Pending",IF(F417&lt;7,"Weekback","No Weekback"))</f>
        <v>Pending</v>
      </c>
    </row>
    <row r="418" spans="1:7">
      <c r="A418" s="6" t="str">
        <f>IF(B418="","",_xlfn.XLOOKUP(B418,'All '!B:B,'All '!A:A,"No Found"))</f>
        <v/>
      </c>
      <c r="C418" s="6" t="str">
        <f>IF(B418="","",_xlfn.XLOOKUP($B418,'All '!B:B,'All '!C:C,"No Found"))</f>
        <v/>
      </c>
      <c r="D418" s="6" t="str">
        <f>IF(B418="","",COUNTIF($B$2:B418,B418))</f>
        <v/>
      </c>
      <c r="G418" s="6" t="str">
        <f>IF(F418="","Pending",IF(F418&lt;7,"Weekback","No Weekback"))</f>
        <v>Pending</v>
      </c>
    </row>
    <row r="419" spans="1:7">
      <c r="A419" s="6" t="str">
        <f>IF(B419="","",_xlfn.XLOOKUP(B419,'All '!B:B,'All '!A:A,"No Found"))</f>
        <v/>
      </c>
      <c r="C419" s="6" t="str">
        <f>IF(B419="","",_xlfn.XLOOKUP($B419,'All '!B:B,'All '!C:C,"No Found"))</f>
        <v/>
      </c>
      <c r="D419" s="6" t="str">
        <f>IF(B419="","",COUNTIF($B$2:B419,B419))</f>
        <v/>
      </c>
      <c r="G419" s="6" t="str">
        <f>IF(F419="","Pending",IF(F419&lt;7,"Weekback","No Weekback"))</f>
        <v>Pending</v>
      </c>
    </row>
    <row r="420" spans="1:7">
      <c r="A420" s="6" t="str">
        <f>IF(B420="","",_xlfn.XLOOKUP(B420,'All '!B:B,'All '!A:A,"No Found"))</f>
        <v/>
      </c>
      <c r="C420" s="6" t="str">
        <f>IF(B420="","",_xlfn.XLOOKUP($B420,'All '!B:B,'All '!C:C,"No Found"))</f>
        <v/>
      </c>
      <c r="D420" s="6" t="str">
        <f>IF(B420="","",COUNTIF($B$2:B420,B420))</f>
        <v/>
      </c>
      <c r="G420" s="6" t="str">
        <f>IF(F420="","Pending",IF(F420&lt;7,"Weekback","No Weekback"))</f>
        <v>Pending</v>
      </c>
    </row>
    <row r="421" spans="1:7">
      <c r="A421" s="6" t="str">
        <f>IF(B421="","",_xlfn.XLOOKUP(B421,'All '!B:B,'All '!A:A,"No Found"))</f>
        <v/>
      </c>
      <c r="C421" s="6" t="str">
        <f>IF(B421="","",_xlfn.XLOOKUP($B421,'All '!B:B,'All '!C:C,"No Found"))</f>
        <v/>
      </c>
      <c r="D421" s="6" t="str">
        <f>IF(B421="","",COUNTIF($B$2:B421,B421))</f>
        <v/>
      </c>
      <c r="G421" s="6" t="str">
        <f>IF(F421="","Pending",IF(F421&lt;7,"Weekback","No Weekback"))</f>
        <v>Pending</v>
      </c>
    </row>
    <row r="422" spans="1:7">
      <c r="A422" s="6" t="str">
        <f>IF(B422="","",_xlfn.XLOOKUP(B422,'All '!B:B,'All '!A:A,"No Found"))</f>
        <v/>
      </c>
      <c r="C422" s="6" t="str">
        <f>IF(B422="","",_xlfn.XLOOKUP($B422,'All '!B:B,'All '!C:C,"No Found"))</f>
        <v/>
      </c>
      <c r="D422" s="6" t="str">
        <f>IF(B422="","",COUNTIF($B$2:B422,B422))</f>
        <v/>
      </c>
      <c r="G422" s="6" t="str">
        <f>IF(F422="","Pending",IF(F422&lt;7,"Weekback","No Weekback"))</f>
        <v>Pending</v>
      </c>
    </row>
    <row r="423" spans="1:7">
      <c r="A423" s="6" t="str">
        <f>IF(B423="","",_xlfn.XLOOKUP(B423,'All '!B:B,'All '!A:A,"No Found"))</f>
        <v/>
      </c>
      <c r="C423" s="6" t="str">
        <f>IF(B423="","",_xlfn.XLOOKUP($B423,'All '!B:B,'All '!C:C,"No Found"))</f>
        <v/>
      </c>
      <c r="D423" s="6" t="str">
        <f>IF(B423="","",COUNTIF($B$2:B423,B423))</f>
        <v/>
      </c>
      <c r="G423" s="6" t="str">
        <f>IF(F423="","Pending",IF(F423&lt;7,"Weekback","No Weekback"))</f>
        <v>Pending</v>
      </c>
    </row>
    <row r="424" spans="1:7">
      <c r="A424" s="6" t="str">
        <f>IF(B424="","",_xlfn.XLOOKUP(B424,'All '!B:B,'All '!A:A,"No Found"))</f>
        <v/>
      </c>
      <c r="C424" s="6" t="str">
        <f>IF(B424="","",_xlfn.XLOOKUP($B424,'All '!B:B,'All '!C:C,"No Found"))</f>
        <v/>
      </c>
      <c r="D424" s="6" t="str">
        <f>IF(B424="","",COUNTIF($B$2:B424,B424))</f>
        <v/>
      </c>
      <c r="G424" s="6" t="str">
        <f>IF(F424="","Pending",IF(F424&lt;7,"Weekback","No Weekback"))</f>
        <v>Pending</v>
      </c>
    </row>
    <row r="425" spans="1:7">
      <c r="A425" s="6" t="str">
        <f>IF(B425="","",_xlfn.XLOOKUP(B425,'All '!B:B,'All '!A:A,"No Found"))</f>
        <v/>
      </c>
      <c r="C425" s="6" t="str">
        <f>IF(B425="","",_xlfn.XLOOKUP($B425,'All '!B:B,'All '!C:C,"No Found"))</f>
        <v/>
      </c>
      <c r="D425" s="6" t="str">
        <f>IF(B425="","",COUNTIF($B$2:B425,B425))</f>
        <v/>
      </c>
      <c r="G425" s="6" t="str">
        <f>IF(F425="","Pending",IF(F425&lt;7,"Weekback","No Weekback"))</f>
        <v>Pending</v>
      </c>
    </row>
    <row r="426" spans="1:7">
      <c r="A426" s="6" t="str">
        <f>IF(B426="","",_xlfn.XLOOKUP(B426,'All '!B:B,'All '!A:A,"No Found"))</f>
        <v/>
      </c>
      <c r="C426" s="6" t="str">
        <f>IF(B426="","",_xlfn.XLOOKUP($B426,'All '!B:B,'All '!C:C,"No Found"))</f>
        <v/>
      </c>
      <c r="D426" s="6" t="str">
        <f>IF(B426="","",COUNTIF($B$2:B426,B426))</f>
        <v/>
      </c>
      <c r="G426" s="6" t="str">
        <f>IF(F426="","Pending",IF(F426&lt;7,"Weekback","No Weekback"))</f>
        <v>Pending</v>
      </c>
    </row>
    <row r="427" spans="1:7">
      <c r="A427" s="6" t="str">
        <f>IF(B427="","",_xlfn.XLOOKUP(B427,'All '!B:B,'All '!A:A,"No Found"))</f>
        <v/>
      </c>
      <c r="C427" s="6" t="str">
        <f>IF(B427="","",_xlfn.XLOOKUP($B427,'All '!B:B,'All '!C:C,"No Found"))</f>
        <v/>
      </c>
      <c r="D427" s="6" t="str">
        <f>IF(B427="","",COUNTIF($B$2:B427,B427))</f>
        <v/>
      </c>
      <c r="G427" s="6" t="str">
        <f>IF(F427="","Pending",IF(F427&lt;7,"Weekback","No Weekback"))</f>
        <v>Pending</v>
      </c>
    </row>
    <row r="428" spans="1:7">
      <c r="A428" s="6" t="str">
        <f>IF(B428="","",_xlfn.XLOOKUP(B428,'All '!B:B,'All '!A:A,"No Found"))</f>
        <v/>
      </c>
      <c r="C428" s="6" t="str">
        <f>IF(B428="","",_xlfn.XLOOKUP($B428,'All '!B:B,'All '!C:C,"No Found"))</f>
        <v/>
      </c>
      <c r="D428" s="6" t="str">
        <f>IF(B428="","",COUNTIF($B$2:B428,B428))</f>
        <v/>
      </c>
      <c r="G428" s="6" t="str">
        <f>IF(F428="","Pending",IF(F428&lt;7,"Weekback","No Weekback"))</f>
        <v>Pending</v>
      </c>
    </row>
    <row r="429" spans="1:7">
      <c r="A429" s="6" t="str">
        <f>IF(B429="","",_xlfn.XLOOKUP(B429,'All '!B:B,'All '!A:A,"No Found"))</f>
        <v/>
      </c>
      <c r="C429" s="6" t="str">
        <f>IF(B429="","",_xlfn.XLOOKUP($B429,'All '!B:B,'All '!C:C,"No Found"))</f>
        <v/>
      </c>
      <c r="D429" s="6" t="str">
        <f>IF(B429="","",COUNTIF($B$2:B429,B429))</f>
        <v/>
      </c>
      <c r="G429" s="6" t="str">
        <f>IF(F429="","Pending",IF(F429&lt;7,"Weekback","No Weekback"))</f>
        <v>Pending</v>
      </c>
    </row>
    <row r="430" spans="1:7">
      <c r="A430" s="6" t="str">
        <f>IF(B430="","",_xlfn.XLOOKUP(B430,'All '!B:B,'All '!A:A,"No Found"))</f>
        <v/>
      </c>
      <c r="C430" s="6" t="str">
        <f>IF(B430="","",_xlfn.XLOOKUP($B430,'All '!B:B,'All '!C:C,"No Found"))</f>
        <v/>
      </c>
      <c r="D430" s="6" t="str">
        <f>IF(B430="","",COUNTIF($B$2:B430,B430))</f>
        <v/>
      </c>
      <c r="G430" s="6" t="str">
        <f>IF(F430="","Pending",IF(F430&lt;7,"Weekback","No Weekback"))</f>
        <v>Pending</v>
      </c>
    </row>
    <row r="431" spans="1:7">
      <c r="A431" s="6" t="str">
        <f>IF(B431="","",_xlfn.XLOOKUP(B431,'All '!B:B,'All '!A:A,"No Found"))</f>
        <v/>
      </c>
      <c r="C431" s="6" t="str">
        <f>IF(B431="","",_xlfn.XLOOKUP($B431,'All '!B:B,'All '!C:C,"No Found"))</f>
        <v/>
      </c>
      <c r="D431" s="6" t="str">
        <f>IF(B431="","",COUNTIF($B$2:B431,B431))</f>
        <v/>
      </c>
      <c r="G431" s="6" t="str">
        <f>IF(F431="","Pending",IF(F431&lt;7,"Weekback","No Weekback"))</f>
        <v>Pending</v>
      </c>
    </row>
    <row r="432" spans="1:7">
      <c r="A432" s="6" t="str">
        <f>IF(B432="","",_xlfn.XLOOKUP(B432,'All '!B:B,'All '!A:A,"No Found"))</f>
        <v/>
      </c>
      <c r="C432" s="6" t="str">
        <f>IF(B432="","",_xlfn.XLOOKUP($B432,'All '!B:B,'All '!C:C,"No Found"))</f>
        <v/>
      </c>
      <c r="D432" s="6" t="str">
        <f>IF(B432="","",COUNTIF($B$2:B432,B432))</f>
        <v/>
      </c>
      <c r="G432" s="6" t="str">
        <f>IF(F432="","Pending",IF(F432&lt;7,"Weekback","No Weekback"))</f>
        <v>Pending</v>
      </c>
    </row>
    <row r="433" spans="1:7">
      <c r="A433" s="6" t="str">
        <f>IF(B433="","",_xlfn.XLOOKUP(B433,'All '!B:B,'All '!A:A,"No Found"))</f>
        <v/>
      </c>
      <c r="C433" s="6" t="str">
        <f>IF(B433="","",_xlfn.XLOOKUP($B433,'All '!B:B,'All '!C:C,"No Found"))</f>
        <v/>
      </c>
      <c r="D433" s="6" t="str">
        <f>IF(B433="","",COUNTIF($B$2:B433,B433))</f>
        <v/>
      </c>
      <c r="G433" s="6" t="str">
        <f>IF(F433="","Pending",IF(F433&lt;7,"Weekback","No Weekback"))</f>
        <v>Pending</v>
      </c>
    </row>
    <row r="434" spans="1:7">
      <c r="A434" s="6" t="str">
        <f>IF(B434="","",_xlfn.XLOOKUP(B434,'All '!B:B,'All '!A:A,"No Found"))</f>
        <v/>
      </c>
      <c r="C434" s="6" t="str">
        <f>IF(B434="","",_xlfn.XLOOKUP($B434,'All '!B:B,'All '!C:C,"No Found"))</f>
        <v/>
      </c>
      <c r="D434" s="6" t="str">
        <f>IF(B434="","",COUNTIF($B$2:B434,B434))</f>
        <v/>
      </c>
      <c r="G434" s="6" t="str">
        <f>IF(F434="","Pending",IF(F434&lt;7,"Weekback","No Weekback"))</f>
        <v>Pending</v>
      </c>
    </row>
    <row r="435" spans="1:7">
      <c r="A435" s="6" t="str">
        <f>IF(B435="","",_xlfn.XLOOKUP(B435,'All '!B:B,'All '!A:A,"No Found"))</f>
        <v/>
      </c>
      <c r="C435" s="6" t="str">
        <f>IF(B435="","",_xlfn.XLOOKUP($B435,'All '!B:B,'All '!C:C,"No Found"))</f>
        <v/>
      </c>
      <c r="D435" s="6" t="str">
        <f>IF(B435="","",COUNTIF($B$2:B435,B435))</f>
        <v/>
      </c>
      <c r="G435" s="6" t="str">
        <f>IF(F435="","Pending",IF(F435&lt;7,"Weekback","No Weekback"))</f>
        <v>Pending</v>
      </c>
    </row>
    <row r="436" spans="1:7">
      <c r="A436" s="6" t="str">
        <f>IF(B436="","",_xlfn.XLOOKUP(B436,'All '!B:B,'All '!A:A,"No Found"))</f>
        <v/>
      </c>
      <c r="C436" s="6" t="str">
        <f>IF(B436="","",_xlfn.XLOOKUP($B436,'All '!B:B,'All '!C:C,"No Found"))</f>
        <v/>
      </c>
      <c r="D436" s="6" t="str">
        <f>IF(B436="","",COUNTIF($B$2:B436,B436))</f>
        <v/>
      </c>
      <c r="G436" s="6" t="str">
        <f>IF(F436="","Pending",IF(F436&lt;7,"Weekback","No Weekback"))</f>
        <v>Pending</v>
      </c>
    </row>
    <row r="437" spans="1:7">
      <c r="A437" s="6" t="str">
        <f>IF(B437="","",_xlfn.XLOOKUP(B437,'All '!B:B,'All '!A:A,"No Found"))</f>
        <v/>
      </c>
      <c r="C437" s="6" t="str">
        <f>IF(B437="","",_xlfn.XLOOKUP($B437,'All '!B:B,'All '!C:C,"No Found"))</f>
        <v/>
      </c>
      <c r="D437" s="6" t="str">
        <f>IF(B437="","",COUNTIF($B$2:B437,B437))</f>
        <v/>
      </c>
      <c r="G437" s="6" t="str">
        <f>IF(F437="","Pending",IF(F437&lt;7,"Weekback","No Weekback"))</f>
        <v>Pending</v>
      </c>
    </row>
    <row r="438" spans="1:7">
      <c r="A438" s="6" t="str">
        <f>IF(B438="","",_xlfn.XLOOKUP(B438,'All '!B:B,'All '!A:A,"No Found"))</f>
        <v/>
      </c>
      <c r="C438" s="6" t="str">
        <f>IF(B438="","",_xlfn.XLOOKUP($B438,'All '!B:B,'All '!C:C,"No Found"))</f>
        <v/>
      </c>
      <c r="D438" s="6" t="str">
        <f>IF(B438="","",COUNTIF($B$2:B438,B438))</f>
        <v/>
      </c>
      <c r="G438" s="6" t="str">
        <f>IF(F438="","Pending",IF(F438&lt;7,"Weekback","No Weekback"))</f>
        <v>Pending</v>
      </c>
    </row>
    <row r="439" spans="1:7">
      <c r="A439" s="6" t="str">
        <f>IF(B439="","",_xlfn.XLOOKUP(B439,'All '!B:B,'All '!A:A,"No Found"))</f>
        <v/>
      </c>
      <c r="C439" s="6" t="str">
        <f>IF(B439="","",_xlfn.XLOOKUP($B439,'All '!B:B,'All '!C:C,"No Found"))</f>
        <v/>
      </c>
      <c r="D439" s="6" t="str">
        <f>IF(B439="","",COUNTIF($B$2:B439,B439))</f>
        <v/>
      </c>
      <c r="G439" s="6" t="str">
        <f>IF(F439="","Pending",IF(F439&lt;7,"Weekback","No Weekback"))</f>
        <v>Pending</v>
      </c>
    </row>
    <row r="440" spans="1:7">
      <c r="A440" s="6" t="str">
        <f>IF(B440="","",_xlfn.XLOOKUP(B440,'All '!B:B,'All '!A:A,"No Found"))</f>
        <v/>
      </c>
      <c r="C440" s="6" t="str">
        <f>IF(B440="","",_xlfn.XLOOKUP($B440,'All '!B:B,'All '!C:C,"No Found"))</f>
        <v/>
      </c>
      <c r="D440" s="6" t="str">
        <f>IF(B440="","",COUNTIF($B$2:B440,B440))</f>
        <v/>
      </c>
      <c r="G440" s="6" t="str">
        <f>IF(F440="","Pending",IF(F440&lt;7,"Weekback","No Weekback"))</f>
        <v>Pending</v>
      </c>
    </row>
    <row r="441" spans="1:7">
      <c r="A441" s="6" t="str">
        <f>IF(B441="","",_xlfn.XLOOKUP(B441,'All '!B:B,'All '!A:A,"No Found"))</f>
        <v/>
      </c>
      <c r="C441" s="6" t="str">
        <f>IF(B441="","",_xlfn.XLOOKUP($B441,'All '!B:B,'All '!C:C,"No Found"))</f>
        <v/>
      </c>
      <c r="D441" s="6" t="str">
        <f>IF(B441="","",COUNTIF($B$2:B441,B441))</f>
        <v/>
      </c>
      <c r="G441" s="6" t="str">
        <f>IF(F441="","Pending",IF(F441&lt;7,"Weekback","No Weekback"))</f>
        <v>Pending</v>
      </c>
    </row>
    <row r="442" spans="1:7">
      <c r="A442" s="6" t="str">
        <f>IF(B442="","",_xlfn.XLOOKUP(B442,'All '!B:B,'All '!A:A,"No Found"))</f>
        <v/>
      </c>
      <c r="C442" s="6" t="str">
        <f>IF(B442="","",_xlfn.XLOOKUP($B442,'All '!B:B,'All '!C:C,"No Found"))</f>
        <v/>
      </c>
      <c r="D442" s="6" t="str">
        <f>IF(B442="","",COUNTIF($B$2:B442,B442))</f>
        <v/>
      </c>
      <c r="G442" s="6" t="str">
        <f>IF(F442="","Pending",IF(F442&lt;7,"Weekback","No Weekback"))</f>
        <v>Pending</v>
      </c>
    </row>
    <row r="443" spans="1:7">
      <c r="A443" s="6" t="str">
        <f>IF(B443="","",_xlfn.XLOOKUP(B443,'All '!B:B,'All '!A:A,"No Found"))</f>
        <v/>
      </c>
      <c r="C443" s="6" t="str">
        <f>IF(B443="","",_xlfn.XLOOKUP($B443,'All '!B:B,'All '!C:C,"No Found"))</f>
        <v/>
      </c>
      <c r="D443" s="6" t="str">
        <f>IF(B443="","",COUNTIF($B$2:B443,B443))</f>
        <v/>
      </c>
      <c r="G443" s="6" t="str">
        <f>IF(F443="","Pending",IF(F443&lt;7,"Weekback","No Weekback"))</f>
        <v>Pending</v>
      </c>
    </row>
    <row r="444" spans="1:7">
      <c r="A444" s="6" t="str">
        <f>IF(B444="","",_xlfn.XLOOKUP(B444,'All '!B:B,'All '!A:A,"No Found"))</f>
        <v/>
      </c>
      <c r="C444" s="6" t="str">
        <f>IF(B444="","",_xlfn.XLOOKUP($B444,'All '!B:B,'All '!C:C,"No Found"))</f>
        <v/>
      </c>
      <c r="D444" s="6" t="str">
        <f>IF(B444="","",COUNTIF($B$2:B444,B444))</f>
        <v/>
      </c>
      <c r="G444" s="6" t="str">
        <f>IF(F444="","Pending",IF(F444&lt;7,"Weekback","No Weekback"))</f>
        <v>Pending</v>
      </c>
    </row>
    <row r="445" spans="1:7">
      <c r="A445" s="6" t="str">
        <f>IF(B445="","",_xlfn.XLOOKUP(B445,'All '!B:B,'All '!A:A,"No Found"))</f>
        <v/>
      </c>
      <c r="C445" s="6" t="str">
        <f>IF(B445="","",_xlfn.XLOOKUP($B445,'All '!B:B,'All '!C:C,"No Found"))</f>
        <v/>
      </c>
      <c r="D445" s="6" t="str">
        <f>IF(B445="","",COUNTIF($B$2:B445,B445))</f>
        <v/>
      </c>
      <c r="G445" s="6" t="str">
        <f>IF(F445="","Pending",IF(F445&lt;7,"Weekback","No Weekback"))</f>
        <v>Pending</v>
      </c>
    </row>
    <row r="446" spans="1:7">
      <c r="A446" s="6" t="str">
        <f>IF(B446="","",_xlfn.XLOOKUP(B446,'All '!B:B,'All '!A:A,"No Found"))</f>
        <v/>
      </c>
      <c r="C446" s="6" t="str">
        <f>IF(B446="","",_xlfn.XLOOKUP($B446,'All '!B:B,'All '!C:C,"No Found"))</f>
        <v/>
      </c>
      <c r="D446" s="6" t="str">
        <f>IF(B446="","",COUNTIF($B$2:B446,B446))</f>
        <v/>
      </c>
      <c r="G446" s="6" t="str">
        <f>IF(F446="","Pending",IF(F446&lt;7,"Weekback","No Weekback"))</f>
        <v>Pending</v>
      </c>
    </row>
    <row r="447" spans="1:7">
      <c r="A447" s="6" t="str">
        <f>IF(B447="","",_xlfn.XLOOKUP(B447,'All '!B:B,'All '!A:A,"No Found"))</f>
        <v/>
      </c>
      <c r="C447" s="6" t="str">
        <f>IF(B447="","",_xlfn.XLOOKUP($B447,'All '!B:B,'All '!C:C,"No Found"))</f>
        <v/>
      </c>
      <c r="D447" s="6" t="str">
        <f>IF(B447="","",COUNTIF($B$2:B447,B447))</f>
        <v/>
      </c>
      <c r="G447" s="6" t="str">
        <f>IF(F447="","Pending",IF(F447&lt;7,"Weekback","No Weekback"))</f>
        <v>Pending</v>
      </c>
    </row>
    <row r="448" spans="1:7">
      <c r="A448" s="6" t="str">
        <f>IF(B448="","",_xlfn.XLOOKUP(B448,'All '!B:B,'All '!A:A,"No Found"))</f>
        <v/>
      </c>
      <c r="C448" s="6" t="str">
        <f>IF(B448="","",_xlfn.XLOOKUP($B448,'All '!B:B,'All '!C:C,"No Found"))</f>
        <v/>
      </c>
      <c r="D448" s="6" t="str">
        <f>IF(B448="","",COUNTIF($B$2:B448,B448))</f>
        <v/>
      </c>
      <c r="G448" s="6" t="str">
        <f>IF(F448="","Pending",IF(F448&lt;7,"Weekback","No Weekback"))</f>
        <v>Pending</v>
      </c>
    </row>
    <row r="449" spans="1:7">
      <c r="A449" s="6" t="str">
        <f>IF(B449="","",_xlfn.XLOOKUP(B449,'All '!B:B,'All '!A:A,"No Found"))</f>
        <v/>
      </c>
      <c r="C449" s="6" t="str">
        <f>IF(B449="","",_xlfn.XLOOKUP($B449,'All '!B:B,'All '!C:C,"No Found"))</f>
        <v/>
      </c>
      <c r="D449" s="6" t="str">
        <f>IF(B449="","",COUNTIF($B$2:B449,B449))</f>
        <v/>
      </c>
      <c r="G449" s="6" t="str">
        <f>IF(F449="","Pending",IF(F449&lt;7,"Weekback","No Weekback"))</f>
        <v>Pending</v>
      </c>
    </row>
    <row r="450" spans="1:7">
      <c r="A450" s="6" t="str">
        <f>IF(B450="","",_xlfn.XLOOKUP(B450,'All '!B:B,'All '!A:A,"No Found"))</f>
        <v/>
      </c>
      <c r="C450" s="6" t="str">
        <f>IF(B450="","",_xlfn.XLOOKUP($B450,'All '!B:B,'All '!C:C,"No Found"))</f>
        <v/>
      </c>
      <c r="D450" s="6" t="str">
        <f>IF(B450="","",COUNTIF($B$2:B450,B450))</f>
        <v/>
      </c>
      <c r="G450" s="6" t="str">
        <f>IF(F450="","Pending",IF(F450&lt;7,"Weekback","No Weekback"))</f>
        <v>Pending</v>
      </c>
    </row>
    <row r="451" spans="1:7">
      <c r="A451" s="6" t="str">
        <f>IF(B451="","",_xlfn.XLOOKUP(B451,'All '!B:B,'All '!A:A,"No Found"))</f>
        <v/>
      </c>
      <c r="C451" s="6" t="str">
        <f>IF(B451="","",_xlfn.XLOOKUP($B451,'All '!B:B,'All '!C:C,"No Found"))</f>
        <v/>
      </c>
      <c r="D451" s="6" t="str">
        <f>IF(B451="","",COUNTIF($B$2:B451,B451))</f>
        <v/>
      </c>
      <c r="G451" s="6" t="str">
        <f>IF(F451="","Pending",IF(F451&lt;7,"Weekback","No Weekback"))</f>
        <v>Pending</v>
      </c>
    </row>
    <row r="452" spans="1:7">
      <c r="A452" s="6" t="str">
        <f>IF(B452="","",_xlfn.XLOOKUP(B452,'All '!B:B,'All '!A:A,"No Found"))</f>
        <v/>
      </c>
      <c r="C452" s="6" t="str">
        <f>IF(B452="","",_xlfn.XLOOKUP($B452,'All '!B:B,'All '!C:C,"No Found"))</f>
        <v/>
      </c>
      <c r="D452" s="6" t="str">
        <f>IF(B452="","",COUNTIF($B$2:B452,B452))</f>
        <v/>
      </c>
      <c r="G452" s="6" t="str">
        <f>IF(F452="","Pending",IF(F452&lt;7,"Weekback","No Weekback"))</f>
        <v>Pending</v>
      </c>
    </row>
    <row r="453" spans="1:7">
      <c r="A453" s="6" t="str">
        <f>IF(B453="","",_xlfn.XLOOKUP(B453,'All '!B:B,'All '!A:A,"No Found"))</f>
        <v/>
      </c>
      <c r="C453" s="6" t="str">
        <f>IF(B453="","",_xlfn.XLOOKUP($B453,'All '!B:B,'All '!C:C,"No Found"))</f>
        <v/>
      </c>
      <c r="D453" s="6" t="str">
        <f>IF(B453="","",COUNTIF($B$2:B453,B453))</f>
        <v/>
      </c>
      <c r="G453" s="6" t="str">
        <f>IF(F453="","Pending",IF(F453&lt;7,"Weekback","No Weekback"))</f>
        <v>Pending</v>
      </c>
    </row>
    <row r="454" spans="1:7">
      <c r="A454" s="6" t="str">
        <f>IF(B454="","",_xlfn.XLOOKUP(B454,'All '!B:B,'All '!A:A,"No Found"))</f>
        <v/>
      </c>
      <c r="C454" s="6" t="str">
        <f>IF(B454="","",_xlfn.XLOOKUP($B454,'All '!B:B,'All '!C:C,"No Found"))</f>
        <v/>
      </c>
      <c r="D454" s="6" t="str">
        <f>IF(B454="","",COUNTIF($B$2:B454,B454))</f>
        <v/>
      </c>
      <c r="G454" s="6" t="str">
        <f>IF(F454="","Pending",IF(F454&lt;7,"Weekback","No Weekback"))</f>
        <v>Pending</v>
      </c>
    </row>
    <row r="455" spans="1:7">
      <c r="A455" s="6" t="str">
        <f>IF(B455="","",_xlfn.XLOOKUP(B455,'All '!B:B,'All '!A:A,"No Found"))</f>
        <v/>
      </c>
      <c r="C455" s="6" t="str">
        <f>IF(B455="","",_xlfn.XLOOKUP($B455,'All '!B:B,'All '!C:C,"No Found"))</f>
        <v/>
      </c>
      <c r="D455" s="6" t="str">
        <f>IF(B455="","",COUNTIF($B$2:B455,B455))</f>
        <v/>
      </c>
      <c r="G455" s="6" t="str">
        <f>IF(F455="","Pending",IF(F455&lt;7,"Weekback","No Weekback"))</f>
        <v>Pending</v>
      </c>
    </row>
    <row r="456" spans="1:7">
      <c r="A456" s="6" t="str">
        <f>IF(B456="","",_xlfn.XLOOKUP(B456,'All '!B:B,'All '!A:A,"No Found"))</f>
        <v/>
      </c>
      <c r="C456" s="6" t="str">
        <f>IF(B456="","",_xlfn.XLOOKUP($B456,'All '!B:B,'All '!C:C,"No Found"))</f>
        <v/>
      </c>
      <c r="D456" s="6" t="str">
        <f>IF(B456="","",COUNTIF($B$2:B456,B456))</f>
        <v/>
      </c>
      <c r="G456" s="6" t="str">
        <f>IF(F456="","Pending",IF(F456&lt;7,"Weekback","No Weekback"))</f>
        <v>Pending</v>
      </c>
    </row>
    <row r="457" spans="1:7">
      <c r="A457" s="6" t="str">
        <f>IF(B457="","",_xlfn.XLOOKUP(B457,'All '!B:B,'All '!A:A,"No Found"))</f>
        <v/>
      </c>
      <c r="C457" s="6" t="str">
        <f>IF(B457="","",_xlfn.XLOOKUP($B457,'All '!B:B,'All '!C:C,"No Found"))</f>
        <v/>
      </c>
      <c r="D457" s="6" t="str">
        <f>IF(B457="","",COUNTIF($B$2:B457,B457))</f>
        <v/>
      </c>
      <c r="G457" s="6" t="str">
        <f>IF(F457="","Pending",IF(F457&lt;7,"Weekback","No Weekback"))</f>
        <v>Pending</v>
      </c>
    </row>
    <row r="458" spans="1:7">
      <c r="A458" s="6" t="str">
        <f>IF(B458="","",_xlfn.XLOOKUP(B458,'All '!B:B,'All '!A:A,"No Found"))</f>
        <v/>
      </c>
      <c r="C458" s="6" t="str">
        <f>IF(B458="","",_xlfn.XLOOKUP($B458,'All '!B:B,'All '!C:C,"No Found"))</f>
        <v/>
      </c>
      <c r="D458" s="6" t="str">
        <f>IF(B458="","",COUNTIF($B$2:B458,B458))</f>
        <v/>
      </c>
      <c r="G458" s="6" t="str">
        <f>IF(F458="","Pending",IF(F458&lt;7,"Weekback","No Weekback"))</f>
        <v>Pending</v>
      </c>
    </row>
    <row r="459" spans="1:7">
      <c r="A459" s="6" t="str">
        <f>IF(B459="","",_xlfn.XLOOKUP(B459,'All '!B:B,'All '!A:A,"No Found"))</f>
        <v/>
      </c>
      <c r="C459" s="6" t="str">
        <f>IF(B459="","",_xlfn.XLOOKUP($B459,'All '!B:B,'All '!C:C,"No Found"))</f>
        <v/>
      </c>
      <c r="D459" s="6" t="str">
        <f>IF(B459="","",COUNTIF($B$2:B459,B459))</f>
        <v/>
      </c>
      <c r="G459" s="6" t="str">
        <f>IF(F459="","Pending",IF(F459&lt;7,"Weekback","No Weekback"))</f>
        <v>Pending</v>
      </c>
    </row>
    <row r="460" spans="1:7">
      <c r="A460" s="6" t="str">
        <f>IF(B460="","",_xlfn.XLOOKUP(B460,'All '!B:B,'All '!A:A,"No Found"))</f>
        <v/>
      </c>
      <c r="C460" s="6" t="str">
        <f>IF(B460="","",_xlfn.XLOOKUP($B460,'All '!B:B,'All '!C:C,"No Found"))</f>
        <v/>
      </c>
      <c r="D460" s="6" t="str">
        <f>IF(B460="","",COUNTIF($B$2:B460,B460))</f>
        <v/>
      </c>
      <c r="G460" s="6" t="str">
        <f>IF(F460="","Pending",IF(F460&lt;7,"Weekback","No Weekback"))</f>
        <v>Pending</v>
      </c>
    </row>
    <row r="461" spans="1:7">
      <c r="A461" s="6" t="str">
        <f>IF(B461="","",_xlfn.XLOOKUP(B461,'All '!B:B,'All '!A:A,"No Found"))</f>
        <v/>
      </c>
      <c r="C461" s="6" t="str">
        <f>IF(B461="","",_xlfn.XLOOKUP($B461,'All '!B:B,'All '!C:C,"No Found"))</f>
        <v/>
      </c>
      <c r="D461" s="6" t="str">
        <f>IF(B461="","",COUNTIF($B$2:B461,B461))</f>
        <v/>
      </c>
      <c r="G461" s="6" t="str">
        <f>IF(F461="","Pending",IF(F461&lt;7,"Weekback","No Weekback"))</f>
        <v>Pending</v>
      </c>
    </row>
    <row r="462" spans="1:7">
      <c r="A462" s="6" t="str">
        <f>IF(B462="","",_xlfn.XLOOKUP(B462,'All '!B:B,'All '!A:A,"No Found"))</f>
        <v/>
      </c>
      <c r="C462" s="6" t="str">
        <f>IF(B462="","",_xlfn.XLOOKUP($B462,'All '!B:B,'All '!C:C,"No Found"))</f>
        <v/>
      </c>
      <c r="D462" s="6" t="str">
        <f>IF(B462="","",COUNTIF($B$2:B462,B462))</f>
        <v/>
      </c>
      <c r="G462" s="6" t="str">
        <f>IF(F462="","Pending",IF(F462&lt;7,"Weekback","No Weekback"))</f>
        <v>Pending</v>
      </c>
    </row>
    <row r="463" spans="1:7">
      <c r="A463" s="6" t="str">
        <f>IF(B463="","",_xlfn.XLOOKUP(B463,'All '!B:B,'All '!A:A,"No Found"))</f>
        <v/>
      </c>
      <c r="C463" s="6" t="str">
        <f>IF(B463="","",_xlfn.XLOOKUP($B463,'All '!B:B,'All '!C:C,"No Found"))</f>
        <v/>
      </c>
      <c r="D463" s="6" t="str">
        <f>IF(B463="","",COUNTIF($B$2:B463,B463))</f>
        <v/>
      </c>
      <c r="G463" s="6" t="str">
        <f>IF(F463="","Pending",IF(F463&lt;7,"Weekback","No Weekback"))</f>
        <v>Pending</v>
      </c>
    </row>
    <row r="464" spans="1:7">
      <c r="A464" s="6" t="str">
        <f>IF(B464="","",_xlfn.XLOOKUP(B464,'All '!B:B,'All '!A:A,"No Found"))</f>
        <v/>
      </c>
      <c r="C464" s="6" t="str">
        <f>IF(B464="","",_xlfn.XLOOKUP($B464,'All '!B:B,'All '!C:C,"No Found"))</f>
        <v/>
      </c>
      <c r="D464" s="6" t="str">
        <f>IF(B464="","",COUNTIF($B$2:B464,B464))</f>
        <v/>
      </c>
      <c r="G464" s="6" t="str">
        <f>IF(F464="","Pending",IF(F464&lt;7,"Weekback","No Weekback"))</f>
        <v>Pending</v>
      </c>
    </row>
    <row r="465" spans="1:7">
      <c r="A465" s="6" t="str">
        <f>IF(B465="","",_xlfn.XLOOKUP(B465,'All '!B:B,'All '!A:A,"No Found"))</f>
        <v/>
      </c>
      <c r="C465" s="6" t="str">
        <f>IF(B465="","",_xlfn.XLOOKUP($B465,'All '!B:B,'All '!C:C,"No Found"))</f>
        <v/>
      </c>
      <c r="D465" s="6" t="str">
        <f>IF(B465="","",COUNTIF($B$2:B465,B465))</f>
        <v/>
      </c>
      <c r="G465" s="6" t="str">
        <f>IF(F465="","Pending",IF(F465&lt;7,"Weekback","No Weekback"))</f>
        <v>Pending</v>
      </c>
    </row>
    <row r="466" spans="1:7">
      <c r="A466" s="6" t="str">
        <f>IF(B466="","",_xlfn.XLOOKUP(B466,'All '!B:B,'All '!A:A,"No Found"))</f>
        <v/>
      </c>
      <c r="C466" s="6" t="str">
        <f>IF(B466="","",_xlfn.XLOOKUP($B466,'All '!B:B,'All '!C:C,"No Found"))</f>
        <v/>
      </c>
      <c r="D466" s="6" t="str">
        <f>IF(B466="","",COUNTIF($B$2:B466,B466))</f>
        <v/>
      </c>
      <c r="G466" s="6" t="str">
        <f>IF(F466="","Pending",IF(F466&lt;7,"Weekback","No Weekback"))</f>
        <v>Pending</v>
      </c>
    </row>
    <row r="467" spans="1:7">
      <c r="A467" s="6" t="str">
        <f>IF(B467="","",_xlfn.XLOOKUP(B467,'All '!B:B,'All '!A:A,"No Found"))</f>
        <v/>
      </c>
      <c r="C467" s="6" t="str">
        <f>IF(B467="","",_xlfn.XLOOKUP($B467,'All '!B:B,'All '!C:C,"No Found"))</f>
        <v/>
      </c>
      <c r="D467" s="6" t="str">
        <f>IF(B467="","",COUNTIF($B$2:B467,B467))</f>
        <v/>
      </c>
      <c r="G467" s="6" t="str">
        <f>IF(F467="","Pending",IF(F467&lt;7,"Weekback","No Weekback"))</f>
        <v>Pending</v>
      </c>
    </row>
    <row r="468" spans="1:7">
      <c r="A468" s="6" t="str">
        <f>IF(B468="","",_xlfn.XLOOKUP(B468,'All '!B:B,'All '!A:A,"No Found"))</f>
        <v/>
      </c>
      <c r="C468" s="6" t="str">
        <f>IF(B468="","",_xlfn.XLOOKUP($B468,'All '!B:B,'All '!C:C,"No Found"))</f>
        <v/>
      </c>
      <c r="D468" s="6" t="str">
        <f>IF(B468="","",COUNTIF($B$2:B468,B468))</f>
        <v/>
      </c>
      <c r="G468" s="6" t="str">
        <f>IF(F468="","Pending",IF(F468&lt;7,"Weekback","No Weekback"))</f>
        <v>Pending</v>
      </c>
    </row>
    <row r="469" spans="1:7">
      <c r="A469" s="6" t="str">
        <f>IF(B469="","",_xlfn.XLOOKUP(B469,'All '!B:B,'All '!A:A,"No Found"))</f>
        <v/>
      </c>
      <c r="C469" s="6" t="str">
        <f>IF(B469="","",_xlfn.XLOOKUP($B469,'All '!B:B,'All '!C:C,"No Found"))</f>
        <v/>
      </c>
      <c r="D469" s="6" t="str">
        <f>IF(B469="","",COUNTIF($B$2:B469,B469))</f>
        <v/>
      </c>
      <c r="G469" s="6" t="str">
        <f>IF(F469="","Pending",IF(F469&lt;7,"Weekback","No Weekback"))</f>
        <v>Pending</v>
      </c>
    </row>
    <row r="470" spans="1:7">
      <c r="A470" s="6" t="str">
        <f>IF(B470="","",_xlfn.XLOOKUP(B470,'All '!B:B,'All '!A:A,"No Found"))</f>
        <v/>
      </c>
      <c r="C470" s="6" t="str">
        <f>IF(B470="","",_xlfn.XLOOKUP($B470,'All '!B:B,'All '!C:C,"No Found"))</f>
        <v/>
      </c>
      <c r="D470" s="6" t="str">
        <f>IF(B470="","",COUNTIF($B$2:B470,B470))</f>
        <v/>
      </c>
      <c r="G470" s="6" t="str">
        <f>IF(F470="","Pending",IF(F470&lt;7,"Weekback","No Weekback"))</f>
        <v>Pending</v>
      </c>
    </row>
    <row r="471" spans="1:7">
      <c r="A471" s="6" t="str">
        <f>IF(B471="","",_xlfn.XLOOKUP(B471,'All '!B:B,'All '!A:A,"No Found"))</f>
        <v/>
      </c>
      <c r="C471" s="6" t="str">
        <f>IF(B471="","",_xlfn.XLOOKUP($B471,'All '!B:B,'All '!C:C,"No Found"))</f>
        <v/>
      </c>
      <c r="D471" s="6" t="str">
        <f>IF(B471="","",COUNTIF($B$2:B471,B471))</f>
        <v/>
      </c>
      <c r="G471" s="6" t="str">
        <f>IF(F471="","Pending",IF(F471&lt;7,"Weekback","No Weekback"))</f>
        <v>Pending</v>
      </c>
    </row>
    <row r="472" spans="1:7">
      <c r="A472" s="6" t="str">
        <f>IF(B472="","",_xlfn.XLOOKUP(B472,'All '!B:B,'All '!A:A,"No Found"))</f>
        <v/>
      </c>
      <c r="C472" s="6" t="str">
        <f>IF(B472="","",_xlfn.XLOOKUP($B472,'All '!B:B,'All '!C:C,"No Found"))</f>
        <v/>
      </c>
      <c r="D472" s="6" t="str">
        <f>IF(B472="","",COUNTIF($B$2:B472,B472))</f>
        <v/>
      </c>
      <c r="G472" s="6" t="str">
        <f>IF(F472="","Pending",IF(F472&lt;7,"Weekback","No Weekback"))</f>
        <v>Pending</v>
      </c>
    </row>
    <row r="473" spans="1:7">
      <c r="A473" s="6" t="str">
        <f>IF(B473="","",_xlfn.XLOOKUP(B473,'All '!B:B,'All '!A:A,"No Found"))</f>
        <v/>
      </c>
      <c r="C473" s="6" t="str">
        <f>IF(B473="","",_xlfn.XLOOKUP($B473,'All '!B:B,'All '!C:C,"No Found"))</f>
        <v/>
      </c>
      <c r="D473" s="6" t="str">
        <f>IF(B473="","",COUNTIF($B$2:B473,B473))</f>
        <v/>
      </c>
      <c r="G473" s="6" t="str">
        <f>IF(F473="","Pending",IF(F473&lt;7,"Weekback","No Weekback"))</f>
        <v>Pending</v>
      </c>
    </row>
    <row r="474" spans="1:7">
      <c r="A474" s="6" t="str">
        <f>IF(B474="","",_xlfn.XLOOKUP(B474,'All '!B:B,'All '!A:A,"No Found"))</f>
        <v/>
      </c>
      <c r="C474" s="6" t="str">
        <f>IF(B474="","",_xlfn.XLOOKUP($B474,'All '!B:B,'All '!C:C,"No Found"))</f>
        <v/>
      </c>
      <c r="D474" s="6" t="str">
        <f>IF(B474="","",COUNTIF($B$2:B474,B474))</f>
        <v/>
      </c>
      <c r="G474" s="6" t="str">
        <f>IF(F474="","Pending",IF(F474&lt;7,"Weekback","No Weekback"))</f>
        <v>Pending</v>
      </c>
    </row>
    <row r="475" spans="1:7">
      <c r="A475" s="6" t="str">
        <f>IF(B475="","",_xlfn.XLOOKUP(B475,'All '!B:B,'All '!A:A,"No Found"))</f>
        <v/>
      </c>
      <c r="C475" s="6" t="str">
        <f>IF(B475="","",_xlfn.XLOOKUP($B475,'All '!B:B,'All '!C:C,"No Found"))</f>
        <v/>
      </c>
      <c r="D475" s="6" t="str">
        <f>IF(B475="","",COUNTIF($B$2:B475,B475))</f>
        <v/>
      </c>
      <c r="G475" s="6" t="str">
        <f>IF(F475="","Pending",IF(F475&lt;7,"Weekback","No Weekback"))</f>
        <v>Pending</v>
      </c>
    </row>
    <row r="476" spans="1:7">
      <c r="A476" s="6" t="str">
        <f>IF(B476="","",_xlfn.XLOOKUP(B476,'All '!B:B,'All '!A:A,"No Found"))</f>
        <v/>
      </c>
      <c r="C476" s="6" t="str">
        <f>IF(B476="","",_xlfn.XLOOKUP($B476,'All '!B:B,'All '!C:C,"No Found"))</f>
        <v/>
      </c>
      <c r="D476" s="6" t="str">
        <f>IF(B476="","",COUNTIF($B$2:B476,B476))</f>
        <v/>
      </c>
      <c r="G476" s="6" t="str">
        <f>IF(F476="","Pending",IF(F476&lt;7,"Weekback","No Weekback"))</f>
        <v>Pending</v>
      </c>
    </row>
    <row r="477" spans="1:7">
      <c r="A477" s="6" t="str">
        <f>IF(B477="","",_xlfn.XLOOKUP(B477,'All '!B:B,'All '!A:A,"No Found"))</f>
        <v/>
      </c>
      <c r="C477" s="6" t="str">
        <f>IF(B477="","",_xlfn.XLOOKUP($B477,'All '!B:B,'All '!C:C,"No Found"))</f>
        <v/>
      </c>
      <c r="D477" s="6" t="str">
        <f>IF(B477="","",COUNTIF($B$2:B477,B477))</f>
        <v/>
      </c>
      <c r="G477" s="6" t="str">
        <f>IF(F477="","Pending",IF(F477&lt;7,"Weekback","No Weekback"))</f>
        <v>Pending</v>
      </c>
    </row>
    <row r="478" spans="1:7">
      <c r="A478" s="6" t="str">
        <f>IF(B478="","",_xlfn.XLOOKUP(B478,'All '!B:B,'All '!A:A,"No Found"))</f>
        <v/>
      </c>
      <c r="C478" s="6" t="str">
        <f>IF(B478="","",_xlfn.XLOOKUP($B478,'All '!B:B,'All '!C:C,"No Found"))</f>
        <v/>
      </c>
      <c r="D478" s="6" t="str">
        <f>IF(B478="","",COUNTIF($B$2:B478,B478))</f>
        <v/>
      </c>
      <c r="G478" s="6" t="str">
        <f>IF(F478="","Pending",IF(F478&lt;7,"Weekback","No Weekback"))</f>
        <v>Pending</v>
      </c>
    </row>
    <row r="479" spans="1:7">
      <c r="A479" s="6" t="str">
        <f>IF(B479="","",_xlfn.XLOOKUP(B479,'All '!B:B,'All '!A:A,"No Found"))</f>
        <v/>
      </c>
      <c r="C479" s="6" t="str">
        <f>IF(B479="","",_xlfn.XLOOKUP($B479,'All '!B:B,'All '!C:C,"No Found"))</f>
        <v/>
      </c>
      <c r="D479" s="6" t="str">
        <f>IF(B479="","",COUNTIF($B$2:B479,B479))</f>
        <v/>
      </c>
      <c r="G479" s="6" t="str">
        <f>IF(F479="","Pending",IF(F479&lt;7,"Weekback","No Weekback"))</f>
        <v>Pending</v>
      </c>
    </row>
    <row r="480" spans="1:7">
      <c r="A480" s="6" t="str">
        <f>IF(B480="","",_xlfn.XLOOKUP(B480,'All '!B:B,'All '!A:A,"No Found"))</f>
        <v/>
      </c>
      <c r="C480" s="6" t="str">
        <f>IF(B480="","",_xlfn.XLOOKUP($B480,'All '!B:B,'All '!C:C,"No Found"))</f>
        <v/>
      </c>
      <c r="D480" s="6" t="str">
        <f>IF(B480="","",COUNTIF($B$2:B480,B480))</f>
        <v/>
      </c>
      <c r="G480" s="6" t="str">
        <f>IF(F480="","Pending",IF(F480&lt;7,"Weekback","No Weekback"))</f>
        <v>Pending</v>
      </c>
    </row>
    <row r="481" spans="1:7">
      <c r="A481" s="6" t="str">
        <f>IF(B481="","",_xlfn.XLOOKUP(B481,'All '!B:B,'All '!A:A,"No Found"))</f>
        <v/>
      </c>
      <c r="C481" s="6" t="str">
        <f>IF(B481="","",_xlfn.XLOOKUP($B481,'All '!B:B,'All '!C:C,"No Found"))</f>
        <v/>
      </c>
      <c r="D481" s="6" t="str">
        <f>IF(B481="","",COUNTIF($B$2:B481,B481))</f>
        <v/>
      </c>
      <c r="G481" s="6" t="str">
        <f>IF(F481="","Pending",IF(F481&lt;7,"Weekback","No Weekback"))</f>
        <v>Pending</v>
      </c>
    </row>
    <row r="482" spans="1:7">
      <c r="A482" s="6" t="str">
        <f>IF(B482="","",_xlfn.XLOOKUP(B482,'All '!B:B,'All '!A:A,"No Found"))</f>
        <v/>
      </c>
      <c r="C482" s="6" t="str">
        <f>IF(B482="","",_xlfn.XLOOKUP($B482,'All '!B:B,'All '!C:C,"No Found"))</f>
        <v/>
      </c>
      <c r="D482" s="6" t="str">
        <f>IF(B482="","",COUNTIF($B$2:B482,B482))</f>
        <v/>
      </c>
      <c r="G482" s="6" t="str">
        <f>IF(F482="","Pending",IF(F482&lt;7,"Weekback","No Weekback"))</f>
        <v>Pending</v>
      </c>
    </row>
    <row r="483" spans="1:7">
      <c r="A483" s="6" t="str">
        <f>IF(B483="","",_xlfn.XLOOKUP(B483,'All '!B:B,'All '!A:A,"No Found"))</f>
        <v/>
      </c>
      <c r="C483" s="6" t="str">
        <f>IF(B483="","",_xlfn.XLOOKUP($B483,'All '!B:B,'All '!C:C,"No Found"))</f>
        <v/>
      </c>
      <c r="D483" s="6" t="str">
        <f>IF(B483="","",COUNTIF($B$2:B483,B483))</f>
        <v/>
      </c>
      <c r="G483" s="6" t="str">
        <f>IF(F483="","Pending",IF(F483&lt;7,"Weekback","No Weekback"))</f>
        <v>Pending</v>
      </c>
    </row>
    <row r="484" spans="1:7">
      <c r="A484" s="6" t="str">
        <f>IF(B484="","",_xlfn.XLOOKUP(B484,'All '!B:B,'All '!A:A,"No Found"))</f>
        <v/>
      </c>
      <c r="C484" s="6" t="str">
        <f>IF(B484="","",_xlfn.XLOOKUP($B484,'All '!B:B,'All '!C:C,"No Found"))</f>
        <v/>
      </c>
      <c r="D484" s="6" t="str">
        <f>IF(B484="","",COUNTIF($B$2:B484,B484))</f>
        <v/>
      </c>
      <c r="G484" s="6" t="str">
        <f>IF(F484="","Pending",IF(F484&lt;7,"Weekback","No Weekback"))</f>
        <v>Pending</v>
      </c>
    </row>
    <row r="485" spans="1:7">
      <c r="A485" s="6" t="str">
        <f>IF(B485="","",_xlfn.XLOOKUP(B485,'All '!B:B,'All '!A:A,"No Found"))</f>
        <v/>
      </c>
      <c r="C485" s="6" t="str">
        <f>IF(B485="","",_xlfn.XLOOKUP($B485,'All '!B:B,'All '!C:C,"No Found"))</f>
        <v/>
      </c>
      <c r="D485" s="6" t="str">
        <f>IF(B485="","",COUNTIF($B$2:B485,B485))</f>
        <v/>
      </c>
      <c r="G485" s="6" t="str">
        <f>IF(F485="","Pending",IF(F485&lt;7,"Weekback","No Weekback"))</f>
        <v>Pending</v>
      </c>
    </row>
    <row r="486" spans="1:7">
      <c r="A486" s="6" t="str">
        <f>IF(B486="","",_xlfn.XLOOKUP(B486,'All '!B:B,'All '!A:A,"No Found"))</f>
        <v/>
      </c>
      <c r="C486" s="6" t="str">
        <f>IF(B486="","",_xlfn.XLOOKUP($B486,'All '!B:B,'All '!C:C,"No Found"))</f>
        <v/>
      </c>
      <c r="D486" s="6" t="str">
        <f>IF(B486="","",COUNTIF($B$2:B486,B486))</f>
        <v/>
      </c>
      <c r="G486" s="6" t="str">
        <f>IF(F486="","Pending",IF(F486&lt;7,"Weekback","No Weekback"))</f>
        <v>Pending</v>
      </c>
    </row>
    <row r="487" spans="1:7">
      <c r="A487" s="6" t="str">
        <f>IF(B487="","",_xlfn.XLOOKUP(B487,'All '!B:B,'All '!A:A,"No Found"))</f>
        <v/>
      </c>
      <c r="C487" s="6" t="str">
        <f>IF(B487="","",_xlfn.XLOOKUP($B487,'All '!B:B,'All '!C:C,"No Found"))</f>
        <v/>
      </c>
      <c r="D487" s="6" t="str">
        <f>IF(B487="","",COUNTIF($B$2:B487,B487))</f>
        <v/>
      </c>
      <c r="G487" s="6" t="str">
        <f>IF(F487="","Pending",IF(F487&lt;7,"Weekback","No Weekback"))</f>
        <v>Pending</v>
      </c>
    </row>
    <row r="488" spans="1:7">
      <c r="A488" s="6" t="str">
        <f>IF(B488="","",_xlfn.XLOOKUP(B488,'All '!B:B,'All '!A:A,"No Found"))</f>
        <v/>
      </c>
      <c r="C488" s="6" t="str">
        <f>IF(B488="","",_xlfn.XLOOKUP($B488,'All '!B:B,'All '!C:C,"No Found"))</f>
        <v/>
      </c>
      <c r="D488" s="6" t="str">
        <f>IF(B488="","",COUNTIF($B$2:B488,B488))</f>
        <v/>
      </c>
      <c r="G488" s="6" t="str">
        <f>IF(F488="","Pending",IF(F488&lt;7,"Weekback","No Weekback"))</f>
        <v>Pending</v>
      </c>
    </row>
    <row r="489" spans="1:7">
      <c r="A489" s="6" t="str">
        <f>IF(B489="","",_xlfn.XLOOKUP(B489,'All '!B:B,'All '!A:A,"No Found"))</f>
        <v/>
      </c>
      <c r="C489" s="6" t="str">
        <f>IF(B489="","",_xlfn.XLOOKUP($B489,'All '!B:B,'All '!C:C,"No Found"))</f>
        <v/>
      </c>
      <c r="D489" s="6" t="str">
        <f>IF(B489="","",COUNTIF($B$2:B489,B489))</f>
        <v/>
      </c>
      <c r="G489" s="6" t="str">
        <f>IF(F489="","Pending",IF(F489&lt;7,"Weekback","No Weekback"))</f>
        <v>Pending</v>
      </c>
    </row>
    <row r="490" spans="1:7">
      <c r="A490" s="6" t="str">
        <f>IF(B490="","",_xlfn.XLOOKUP(B490,'All '!B:B,'All '!A:A,"No Found"))</f>
        <v/>
      </c>
      <c r="C490" s="6" t="str">
        <f>IF(B490="","",_xlfn.XLOOKUP($B490,'All '!B:B,'All '!C:C,"No Found"))</f>
        <v/>
      </c>
      <c r="D490" s="6" t="str">
        <f>IF(B490="","",COUNTIF($B$2:B490,B490))</f>
        <v/>
      </c>
      <c r="G490" s="6" t="str">
        <f>IF(F490="","Pending",IF(F490&lt;7,"Weekback","No Weekback"))</f>
        <v>Pending</v>
      </c>
    </row>
    <row r="491" spans="1:7">
      <c r="A491" s="6" t="str">
        <f>IF(B491="","",_xlfn.XLOOKUP(B491,'All '!B:B,'All '!A:A,"No Found"))</f>
        <v/>
      </c>
      <c r="C491" s="6" t="str">
        <f>IF(B491="","",_xlfn.XLOOKUP($B491,'All '!B:B,'All '!C:C,"No Found"))</f>
        <v/>
      </c>
      <c r="D491" s="6" t="str">
        <f>IF(B491="","",COUNTIF($B$2:B491,B491))</f>
        <v/>
      </c>
      <c r="G491" s="6" t="str">
        <f>IF(F491="","Pending",IF(F491&lt;7,"Weekback","No Weekback"))</f>
        <v>Pending</v>
      </c>
    </row>
    <row r="492" spans="1:7">
      <c r="A492" s="6" t="str">
        <f>IF(B492="","",_xlfn.XLOOKUP(B492,'All '!B:B,'All '!A:A,"No Found"))</f>
        <v/>
      </c>
      <c r="C492" s="6" t="str">
        <f>IF(B492="","",_xlfn.XLOOKUP($B492,'All '!B:B,'All '!C:C,"No Found"))</f>
        <v/>
      </c>
      <c r="D492" s="6" t="str">
        <f>IF(B492="","",COUNTIF($B$2:B492,B492))</f>
        <v/>
      </c>
      <c r="G492" s="6" t="str">
        <f>IF(F492="","Pending",IF(F492&lt;7,"Weekback","No Weekback"))</f>
        <v>Pending</v>
      </c>
    </row>
    <row r="493" spans="1:7">
      <c r="A493" s="6" t="str">
        <f>IF(B493="","",_xlfn.XLOOKUP(B493,'All '!B:B,'All '!A:A,"No Found"))</f>
        <v/>
      </c>
      <c r="C493" s="6" t="str">
        <f>IF(B493="","",_xlfn.XLOOKUP($B493,'All '!B:B,'All '!C:C,"No Found"))</f>
        <v/>
      </c>
      <c r="D493" s="6" t="str">
        <f>IF(B493="","",COUNTIF($B$2:B493,B493))</f>
        <v/>
      </c>
      <c r="G493" s="6" t="str">
        <f>IF(F493="","Pending",IF(F493&lt;7,"Weekback","No Weekback"))</f>
        <v>Pending</v>
      </c>
    </row>
    <row r="494" spans="1:7">
      <c r="A494" s="6" t="str">
        <f>IF(B494="","",_xlfn.XLOOKUP(B494,'All '!B:B,'All '!A:A,"No Found"))</f>
        <v/>
      </c>
      <c r="C494" s="6" t="str">
        <f>IF(B494="","",_xlfn.XLOOKUP($B494,'All '!B:B,'All '!C:C,"No Found"))</f>
        <v/>
      </c>
      <c r="D494" s="6" t="str">
        <f>IF(B494="","",COUNTIF($B$2:B494,B494))</f>
        <v/>
      </c>
      <c r="G494" s="6" t="str">
        <f>IF(F494="","Pending",IF(F494&lt;7,"Weekback","No Weekback"))</f>
        <v>Pending</v>
      </c>
    </row>
    <row r="495" spans="1:7">
      <c r="A495" s="6" t="str">
        <f>IF(B495="","",_xlfn.XLOOKUP(B495,'All '!B:B,'All '!A:A,"No Found"))</f>
        <v/>
      </c>
      <c r="C495" s="6" t="str">
        <f>IF(B495="","",_xlfn.XLOOKUP($B495,'All '!B:B,'All '!C:C,"No Found"))</f>
        <v/>
      </c>
      <c r="D495" s="6" t="str">
        <f>IF(B495="","",COUNTIF($B$2:B495,B495))</f>
        <v/>
      </c>
      <c r="G495" s="6" t="str">
        <f>IF(F495="","Pending",IF(F495&lt;7,"Weekback","No Weekback"))</f>
        <v>Pending</v>
      </c>
    </row>
    <row r="496" spans="1:7">
      <c r="A496" s="6" t="str">
        <f>IF(B496="","",_xlfn.XLOOKUP(B496,'All '!B:B,'All '!A:A,"No Found"))</f>
        <v/>
      </c>
      <c r="C496" s="6" t="str">
        <f>IF(B496="","",_xlfn.XLOOKUP($B496,'All '!B:B,'All '!C:C,"No Found"))</f>
        <v/>
      </c>
      <c r="D496" s="6" t="str">
        <f>IF(B496="","",COUNTIF($B$2:B496,B496))</f>
        <v/>
      </c>
      <c r="G496" s="6" t="str">
        <f>IF(F496="","Pending",IF(F496&lt;7,"Weekback","No Weekback"))</f>
        <v>Pending</v>
      </c>
    </row>
    <row r="497" spans="1:7">
      <c r="A497" s="6" t="str">
        <f>IF(B497="","",_xlfn.XLOOKUP(B497,'All '!B:B,'All '!A:A,"No Found"))</f>
        <v/>
      </c>
      <c r="C497" s="6" t="str">
        <f>IF(B497="","",_xlfn.XLOOKUP($B497,'All '!B:B,'All '!C:C,"No Found"))</f>
        <v/>
      </c>
      <c r="D497" s="6" t="str">
        <f>IF(B497="","",COUNTIF($B$2:B497,B497))</f>
        <v/>
      </c>
      <c r="G497" s="6" t="str">
        <f>IF(F497="","Pending",IF(F497&lt;7,"Weekback","No Weekback"))</f>
        <v>Pending</v>
      </c>
    </row>
    <row r="498" spans="1:7">
      <c r="A498" s="6" t="str">
        <f>IF(B498="","",_xlfn.XLOOKUP(B498,'All '!B:B,'All '!A:A,"No Found"))</f>
        <v/>
      </c>
      <c r="C498" s="6" t="str">
        <f>IF(B498="","",_xlfn.XLOOKUP($B498,'All '!B:B,'All '!C:C,"No Found"))</f>
        <v/>
      </c>
      <c r="D498" s="6" t="str">
        <f>IF(B498="","",COUNTIF($B$2:B498,B498))</f>
        <v/>
      </c>
      <c r="G498" s="6" t="str">
        <f>IF(F498="","Pending",IF(F498&lt;7,"Weekback","No Weekback"))</f>
        <v>Pending</v>
      </c>
    </row>
    <row r="499" spans="1:7">
      <c r="A499" s="6" t="str">
        <f>IF(B499="","",_xlfn.XLOOKUP(B499,'All '!B:B,'All '!A:A,"No Found"))</f>
        <v/>
      </c>
      <c r="C499" s="6" t="str">
        <f>IF(B499="","",_xlfn.XLOOKUP($B499,'All '!B:B,'All '!C:C,"No Found"))</f>
        <v/>
      </c>
      <c r="D499" s="6" t="str">
        <f>IF(B499="","",COUNTIF($B$2:B499,B499))</f>
        <v/>
      </c>
      <c r="G499" s="6" t="str">
        <f>IF(F499="","Pending",IF(F499&lt;7,"Weekback","No Weekback"))</f>
        <v>Pending</v>
      </c>
    </row>
    <row r="500" spans="1:7">
      <c r="A500" s="6" t="str">
        <f>IF(B500="","",_xlfn.XLOOKUP(B500,'All '!B:B,'All '!A:A,"No Found"))</f>
        <v/>
      </c>
      <c r="C500" s="6" t="str">
        <f>IF(B500="","",_xlfn.XLOOKUP($B500,'All '!B:B,'All '!C:C,"No Found"))</f>
        <v/>
      </c>
      <c r="D500" s="6" t="str">
        <f>IF(B500="","",COUNTIF($B$2:B500,B500))</f>
        <v/>
      </c>
      <c r="G500" s="6" t="str">
        <f>IF(F500="","Pending",IF(F500&lt;7,"Weekback","No Weekback"))</f>
        <v>Pending</v>
      </c>
    </row>
    <row r="501" spans="1:7">
      <c r="A501" s="6" t="str">
        <f>IF(B501="","",_xlfn.XLOOKUP(B501,'All '!B:B,'All '!A:A,"No Found"))</f>
        <v/>
      </c>
      <c r="C501" s="6" t="str">
        <f>IF(B501="","",_xlfn.XLOOKUP($B501,'All '!B:B,'All '!C:C,"No Found"))</f>
        <v/>
      </c>
      <c r="D501" s="6" t="str">
        <f>IF(B501="","",COUNTIF($B$2:B501,B501))</f>
        <v/>
      </c>
      <c r="G501" s="6" t="str">
        <f>IF(F501="","Pending",IF(F501&lt;7,"Weekback","No Weekback"))</f>
        <v>Pending</v>
      </c>
    </row>
    <row r="502" spans="1:7">
      <c r="A502" s="6" t="str">
        <f>IF(B502="","",_xlfn.XLOOKUP(B502,'All '!B:B,'All '!A:A,"No Found"))</f>
        <v/>
      </c>
      <c r="C502" s="6" t="str">
        <f>IF(B502="","",_xlfn.XLOOKUP($B502,'All '!B:B,'All '!C:C,"No Found"))</f>
        <v/>
      </c>
      <c r="D502" s="6" t="str">
        <f>IF(B502="","",COUNTIF($B$2:B502,B502))</f>
        <v/>
      </c>
      <c r="G502" s="6" t="str">
        <f>IF(F502="","Pending",IF(F502&lt;7,"Weekback","No Weekback"))</f>
        <v>Pending</v>
      </c>
    </row>
    <row r="503" spans="1:7">
      <c r="A503" s="6" t="str">
        <f>IF(B503="","",_xlfn.XLOOKUP(B503,'All '!B:B,'All '!A:A,"No Found"))</f>
        <v/>
      </c>
      <c r="C503" s="6" t="str">
        <f>IF(B503="","",_xlfn.XLOOKUP($B503,'All '!B:B,'All '!C:C,"No Found"))</f>
        <v/>
      </c>
      <c r="D503" s="6" t="str">
        <f>IF(B503="","",COUNTIF($B$2:B503,B503))</f>
        <v/>
      </c>
      <c r="G503" s="6" t="str">
        <f>IF(F503="","Pending",IF(F503&lt;7,"Weekback","No Weekback"))</f>
        <v>Pending</v>
      </c>
    </row>
    <row r="504" spans="1:7">
      <c r="A504" s="6" t="str">
        <f>IF(B504="","",_xlfn.XLOOKUP(B504,'All '!B:B,'All '!A:A,"No Found"))</f>
        <v/>
      </c>
      <c r="C504" s="6" t="str">
        <f>IF(B504="","",_xlfn.XLOOKUP($B504,'All '!B:B,'All '!C:C,"No Found"))</f>
        <v/>
      </c>
      <c r="D504" s="6" t="str">
        <f>IF(B504="","",COUNTIF($B$2:B504,B504))</f>
        <v/>
      </c>
      <c r="G504" s="6" t="str">
        <f>IF(F504="","Pending",IF(F504&lt;7,"Weekback","No Weekback"))</f>
        <v>Pending</v>
      </c>
    </row>
    <row r="505" spans="1:7">
      <c r="A505" s="6" t="str">
        <f>IF(B505="","",_xlfn.XLOOKUP(B505,'All '!B:B,'All '!A:A,"No Found"))</f>
        <v/>
      </c>
      <c r="C505" s="6" t="str">
        <f>IF(B505="","",_xlfn.XLOOKUP($B505,'All '!B:B,'All '!C:C,"No Found"))</f>
        <v/>
      </c>
      <c r="D505" s="6" t="str">
        <f>IF(B505="","",COUNTIF($B$2:B505,B505))</f>
        <v/>
      </c>
      <c r="G505" s="6" t="str">
        <f>IF(F505="","Pending",IF(F505&lt;7,"Weekback","No Weekback"))</f>
        <v>Pending</v>
      </c>
    </row>
    <row r="506" spans="1:7">
      <c r="A506" s="6" t="str">
        <f>IF(B506="","",_xlfn.XLOOKUP(B506,'All '!B:B,'All '!A:A,"No Found"))</f>
        <v/>
      </c>
      <c r="C506" s="6" t="str">
        <f>IF(B506="","",_xlfn.XLOOKUP($B506,'All '!B:B,'All '!C:C,"No Found"))</f>
        <v/>
      </c>
      <c r="D506" s="6" t="str">
        <f>IF(B506="","",COUNTIF($B$2:B506,B506))</f>
        <v/>
      </c>
      <c r="G506" s="6" t="str">
        <f>IF(F506="","Pending",IF(F506&lt;7,"Weekback","No Weekback"))</f>
        <v>Pending</v>
      </c>
    </row>
    <row r="507" spans="1:7">
      <c r="A507" s="6" t="str">
        <f>IF(B507="","",_xlfn.XLOOKUP(B507,'All '!B:B,'All '!A:A,"No Found"))</f>
        <v/>
      </c>
      <c r="C507" s="6" t="str">
        <f>IF(B507="","",_xlfn.XLOOKUP($B507,'All '!B:B,'All '!C:C,"No Found"))</f>
        <v/>
      </c>
      <c r="D507" s="6" t="str">
        <f>IF(B507="","",COUNTIF($B$2:B507,B507))</f>
        <v/>
      </c>
      <c r="G507" s="6" t="str">
        <f>IF(F507="","Pending",IF(F507&lt;7,"Weekback","No Weekback"))</f>
        <v>Pending</v>
      </c>
    </row>
    <row r="508" spans="1:7">
      <c r="A508" s="6" t="str">
        <f>IF(B508="","",_xlfn.XLOOKUP(B508,'All '!B:B,'All '!A:A,"No Found"))</f>
        <v/>
      </c>
      <c r="C508" s="6" t="str">
        <f>IF(B508="","",_xlfn.XLOOKUP($B508,'All '!B:B,'All '!C:C,"No Found"))</f>
        <v/>
      </c>
      <c r="D508" s="6" t="str">
        <f>IF(B508="","",COUNTIF($B$2:B508,B508))</f>
        <v/>
      </c>
      <c r="G508" s="6" t="str">
        <f>IF(F508="","Pending",IF(F508&lt;7,"Weekback","No Weekback"))</f>
        <v>Pending</v>
      </c>
    </row>
    <row r="509" spans="1:7">
      <c r="A509" s="6" t="str">
        <f>IF(B509="","",_xlfn.XLOOKUP(B509,'All '!B:B,'All '!A:A,"No Found"))</f>
        <v/>
      </c>
      <c r="C509" s="6" t="str">
        <f>IF(B509="","",_xlfn.XLOOKUP($B509,'All '!B:B,'All '!C:C,"No Found"))</f>
        <v/>
      </c>
      <c r="D509" s="6" t="str">
        <f>IF(B509="","",COUNTIF($B$2:B509,B509))</f>
        <v/>
      </c>
      <c r="G509" s="6" t="str">
        <f>IF(F509="","Pending",IF(F509&lt;7,"Weekback","No Weekback"))</f>
        <v>Pending</v>
      </c>
    </row>
    <row r="510" spans="1:7">
      <c r="A510" s="6" t="str">
        <f>IF(B510="","",_xlfn.XLOOKUP(B510,'All '!B:B,'All '!A:A,"No Found"))</f>
        <v/>
      </c>
      <c r="D510" s="6" t="str">
        <f>IF(B510="","",COUNTIF($B$2:B510,B510))</f>
        <v/>
      </c>
      <c r="G510" s="6" t="str">
        <f>IF(F510="","Pending",IF(F510&lt;7,"Weekback","No Weekback"))</f>
        <v>Pending</v>
      </c>
    </row>
    <row r="511" spans="1:7">
      <c r="A511" s="6" t="str">
        <f>IF(B511="","",_xlfn.XLOOKUP(B511,'All '!B:B,'All '!A:A,"No Found"))</f>
        <v/>
      </c>
      <c r="D511" s="6" t="str">
        <f>IF(B511="","",COUNTIF($B$2:B511,B511))</f>
        <v/>
      </c>
      <c r="G511" s="6" t="str">
        <f>IF(F511="","Pending",IF(F511&lt;7,"Weekback","No Weekback"))</f>
        <v>Pending</v>
      </c>
    </row>
    <row r="512" spans="1:7">
      <c r="A512" s="6" t="str">
        <f>IF(B512="","",_xlfn.XLOOKUP(B512,'All '!B:B,'All '!A:A,"No Found"))</f>
        <v/>
      </c>
      <c r="D512" s="6" t="str">
        <f>IF(B512="","",COUNTIF($B$2:B512,B512))</f>
        <v/>
      </c>
      <c r="G512" s="6" t="str">
        <f>IF(F512="","Pending",IF(F512&lt;7,"Weekback","No Weekback"))</f>
        <v>Pending</v>
      </c>
    </row>
    <row r="513" spans="1:7">
      <c r="A513" s="6" t="str">
        <f>IF(B513="","",_xlfn.XLOOKUP(B513,'All '!B:B,'All '!A:A,"No Found"))</f>
        <v/>
      </c>
      <c r="D513" s="6" t="str">
        <f>IF(B513="","",COUNTIF($B$2:B513,B513))</f>
        <v/>
      </c>
      <c r="G513" s="6" t="str">
        <f>IF(F513="","Pending",IF(F513&lt;7,"Weekback","No Weekback"))</f>
        <v>Pending</v>
      </c>
    </row>
    <row r="514" spans="1:7">
      <c r="A514" s="6" t="str">
        <f>IF(B514="","",_xlfn.XLOOKUP(B514,'All '!B:B,'All '!A:A,"No Found"))</f>
        <v/>
      </c>
      <c r="D514" s="6" t="str">
        <f>IF(B514="","",COUNTIF($B$2:B514,B514))</f>
        <v/>
      </c>
      <c r="G514" s="6" t="str">
        <f>IF(F514="","Pending",IF(F514&lt;7,"Weekback","No Weekback"))</f>
        <v>Pending</v>
      </c>
    </row>
    <row r="515" spans="1:7">
      <c r="A515" s="6" t="str">
        <f>IF(B515="","",_xlfn.XLOOKUP(B515,'All '!B:B,'All '!A:A,"No Found"))</f>
        <v/>
      </c>
      <c r="D515" s="6" t="str">
        <f>IF(B515="","",COUNTIF(B:B,B515))</f>
        <v/>
      </c>
      <c r="G515" s="6" t="str">
        <f>IF(F515="","Pending",IF(F515&lt;7,"Weekback","No Weekback"))</f>
        <v>Pending</v>
      </c>
    </row>
    <row r="516" spans="1:7">
      <c r="A516" s="6" t="str">
        <f>IF(B516="","",_xlfn.XLOOKUP(B516,'All '!B:B,'All '!A:A,"No Found"))</f>
        <v/>
      </c>
      <c r="D516" s="6" t="str">
        <f>IF(B516="","",COUNTIF(B:B,B516))</f>
        <v/>
      </c>
      <c r="G516" s="6" t="str">
        <f>IF(F516="","Pending",IF(F516&lt;7,"Weekback","No Weekback"))</f>
        <v>Pending</v>
      </c>
    </row>
    <row r="517" spans="1:7">
      <c r="A517" s="6" t="str">
        <f>IF(B517="","",_xlfn.XLOOKUP(B517,'All '!B:B,'All '!A:A,"No Found"))</f>
        <v/>
      </c>
      <c r="D517" s="6" t="str">
        <f>IF(B517="","",COUNTIF(B:B,B517))</f>
        <v/>
      </c>
      <c r="G517" s="6" t="str">
        <f>IF(F517="","Pending",IF(F517&lt;7,"Weekback","No Weekback"))</f>
        <v>Pending</v>
      </c>
    </row>
    <row r="518" spans="1:7">
      <c r="A518" s="6" t="str">
        <f>IF(B518="","",_xlfn.XLOOKUP(B518,'All '!B:B,'All '!A:A,"No Found"))</f>
        <v/>
      </c>
      <c r="D518" s="6" t="str">
        <f>IF(B518="","",COUNTIF(B:B,B518))</f>
        <v/>
      </c>
      <c r="G518" s="6" t="str">
        <f>IF(F518="","Pending",IF(F518&lt;7,"Weekback","No Weekback"))</f>
        <v>Pending</v>
      </c>
    </row>
    <row r="519" spans="1:7">
      <c r="A519" s="6" t="str">
        <f>IF(B519="","",_xlfn.XLOOKUP(B519,'All '!B:B,'All '!A:A,"No Found"))</f>
        <v/>
      </c>
      <c r="D519" s="6" t="str">
        <f>IF(B519="","",COUNTIF(B:B,B519))</f>
        <v/>
      </c>
    </row>
    <row r="520" spans="1:7">
      <c r="A520" s="6" t="str">
        <f>IF(B520="","",_xlfn.XLOOKUP(B520,'All '!B:B,'All '!A:A,"No Found"))</f>
        <v/>
      </c>
      <c r="D520" s="6" t="str">
        <f>IF(B520="","",COUNTIF(B:B,B520))</f>
        <v/>
      </c>
    </row>
    <row r="521" spans="1:7">
      <c r="A521" s="6" t="str">
        <f>IF(B521="","",_xlfn.XLOOKUP(B521,'All '!B:B,'All '!A:A,"No Found"))</f>
        <v/>
      </c>
      <c r="D521" s="6" t="str">
        <f>IF(B521="","",COUNTIF(B:B,B521))</f>
        <v/>
      </c>
    </row>
    <row r="522" spans="1:7">
      <c r="A522" s="6" t="str">
        <f>IF(B522="","",_xlfn.XLOOKUP(B522,'All '!B:B,'All '!A:A,"No Found"))</f>
        <v/>
      </c>
      <c r="D522" s="6" t="str">
        <f>IF(B522="","",COUNTIF(B:B,B522))</f>
        <v/>
      </c>
    </row>
    <row r="523" spans="1:7">
      <c r="A523" s="6" t="str">
        <f>IF(B523="","",_xlfn.XLOOKUP(B523,'All '!B:B,'All '!A:A,"No Found"))</f>
        <v/>
      </c>
      <c r="D523" s="6" t="str">
        <f>IF(B523="","",COUNTIF(B:B,B523))</f>
        <v/>
      </c>
    </row>
    <row r="524" spans="1:7">
      <c r="D524" s="6" t="str">
        <f>IF(B524="","",COUNTIF(B:B,B524))</f>
        <v/>
      </c>
    </row>
    <row r="525" spans="1:7">
      <c r="D525" s="6" t="str">
        <f>IF(B525="","",COUNTIF(B:B,B525))</f>
        <v/>
      </c>
    </row>
    <row r="526" spans="1:7">
      <c r="D526" s="6" t="str">
        <f>IF(B526="","",COUNTIF(B:B,B526))</f>
        <v/>
      </c>
    </row>
    <row r="527" spans="1:7">
      <c r="D527" s="6" t="str">
        <f>IF(B527="","",COUNTIF(B:B,B527))</f>
        <v/>
      </c>
    </row>
    <row r="528" spans="1:7">
      <c r="D528" s="6" t="str">
        <f>IF(B528="","",COUNTIF(B:B,B528))</f>
        <v/>
      </c>
    </row>
    <row r="529" spans="4:4">
      <c r="D529" s="6" t="str">
        <f>IF(B529="","",COUNTIF(B:B,B529))</f>
        <v/>
      </c>
    </row>
    <row r="530" spans="4:4">
      <c r="D530" s="6" t="str">
        <f>IF(B530="","",COUNTIF(B:B,B530))</f>
        <v/>
      </c>
    </row>
    <row r="531" spans="4:4">
      <c r="D531" s="6" t="str">
        <f>IF(B531="","",COUNTIF(B:B,B531))</f>
        <v/>
      </c>
    </row>
    <row r="532" spans="4:4">
      <c r="D532" s="6" t="str">
        <f>IF(B532="","",COUNTIF(B:B,B532))</f>
        <v/>
      </c>
    </row>
    <row r="533" spans="4:4">
      <c r="D533" s="6" t="str">
        <f>IF(B533="","",COUNTIF(B:B,B533))</f>
        <v/>
      </c>
    </row>
    <row r="534" spans="4:4">
      <c r="D534" s="6" t="str">
        <f>IF(B534="","",COUNTIF(B:B,B534))</f>
        <v/>
      </c>
    </row>
    <row r="535" spans="4:4">
      <c r="D535" s="6" t="str">
        <f>IF(B535="","",COUNTIF(B:B,B535))</f>
        <v/>
      </c>
    </row>
    <row r="536" spans="4:4">
      <c r="D536" s="6" t="str">
        <f>IF(B536="","",COUNTIF(B:B,B536))</f>
        <v/>
      </c>
    </row>
    <row r="537" spans="4:4">
      <c r="D537" s="6" t="str">
        <f>IF(B537="","",COUNTIF(B:B,B537))</f>
        <v/>
      </c>
    </row>
    <row r="538" spans="4:4">
      <c r="D538" s="6" t="str">
        <f>IF(B538="","",COUNTIF(B:B,B538))</f>
        <v/>
      </c>
    </row>
    <row r="539" spans="4:4">
      <c r="D539" s="6" t="str">
        <f>IF(B539="","",COUNTIF(B:B,B539))</f>
        <v/>
      </c>
    </row>
    <row r="540" spans="4:4">
      <c r="D540" s="6" t="str">
        <f>IF(B540="","",COUNTIF(B:B,B540))</f>
        <v/>
      </c>
    </row>
    <row r="541" spans="4:4">
      <c r="D541" s="6" t="str">
        <f>IF(B541="","",COUNTIF(B:B,B541))</f>
        <v/>
      </c>
    </row>
    <row r="542" spans="4:4">
      <c r="D542" s="6" t="str">
        <f>IF(B542="","",COUNTIF(B:B,B542))</f>
        <v/>
      </c>
    </row>
    <row r="543" spans="4:4">
      <c r="D543" s="6" t="str">
        <f>IF(B543="","",COUNTIF(B:B,B543))</f>
        <v/>
      </c>
    </row>
    <row r="544" spans="4:4">
      <c r="D544" s="6" t="str">
        <f>IF(B544="","",COUNTIF(B:B,B544))</f>
        <v/>
      </c>
    </row>
    <row r="545" spans="4:4">
      <c r="D545" s="6" t="str">
        <f>IF(B545="","",COUNTIF(B:B,B545))</f>
        <v/>
      </c>
    </row>
    <row r="546" spans="4:4">
      <c r="D546" s="6" t="str">
        <f>IF(B546="","",COUNTIF(B:B,B546))</f>
        <v/>
      </c>
    </row>
    <row r="547" spans="4:4">
      <c r="D547" s="6" t="str">
        <f>IF(B547="","",COUNTIF(B:B,B547))</f>
        <v/>
      </c>
    </row>
    <row r="548" spans="4:4">
      <c r="D548" s="6" t="str">
        <f>IF(B548="","",COUNTIF(B:B,B548))</f>
        <v/>
      </c>
    </row>
    <row r="549" spans="4:4">
      <c r="D549" s="6" t="str">
        <f>IF(B549="","",COUNTIF(B:B,B549))</f>
        <v/>
      </c>
    </row>
    <row r="550" spans="4:4">
      <c r="D550" s="6" t="str">
        <f>IF(B550="","",COUNTIF(B:B,B550))</f>
        <v/>
      </c>
    </row>
    <row r="551" spans="4:4">
      <c r="D551" s="6" t="str">
        <f>IF(B551="","",COUNTIF(B:B,B551))</f>
        <v/>
      </c>
    </row>
    <row r="552" spans="4:4">
      <c r="D552" s="6" t="str">
        <f>IF(B552="","",COUNTIF(B:B,B552))</f>
        <v/>
      </c>
    </row>
    <row r="553" spans="4:4">
      <c r="D553" s="6" t="str">
        <f>IF(B553="","",COUNTIF(B:B,B553))</f>
        <v/>
      </c>
    </row>
    <row r="554" spans="4:4">
      <c r="D554" s="6" t="str">
        <f>IF(B554="","",COUNTIF(B:B,B554))</f>
        <v/>
      </c>
    </row>
    <row r="555" spans="4:4">
      <c r="D555" s="6" t="str">
        <f>IF(B555="","",COUNTIF(B:B,B555))</f>
        <v/>
      </c>
    </row>
    <row r="556" spans="4:4">
      <c r="D556" s="6" t="str">
        <f>IF(B556="","",COUNTIF(B:B,B556))</f>
        <v/>
      </c>
    </row>
    <row r="557" spans="4:4">
      <c r="D557" s="6" t="str">
        <f>IF(B557="","",COUNTIF(B:B,B557))</f>
        <v/>
      </c>
    </row>
    <row r="558" spans="4:4">
      <c r="D558" s="6" t="str">
        <f>IF(B558="","",COUNTIF(B:B,B558))</f>
        <v/>
      </c>
    </row>
    <row r="559" spans="4:4">
      <c r="D559" s="6" t="str">
        <f>IF(B559="","",COUNTIF(B:B,B559))</f>
        <v/>
      </c>
    </row>
    <row r="560" spans="4:4">
      <c r="D560" s="6" t="str">
        <f>IF(B560="","",COUNTIF(B:B,B560))</f>
        <v/>
      </c>
    </row>
    <row r="561" spans="4:4">
      <c r="D561" s="6" t="str">
        <f>IF(B561="","",COUNTIF(B:B,B561))</f>
        <v/>
      </c>
    </row>
    <row r="562" spans="4:4">
      <c r="D562" s="6" t="str">
        <f>IF(B562="","",COUNTIF(B:B,B562))</f>
        <v/>
      </c>
    </row>
    <row r="563" spans="4:4">
      <c r="D563" s="6" t="str">
        <f>IF(B563="","",COUNTIF(B:B,B563))</f>
        <v/>
      </c>
    </row>
  </sheetData>
  <sortState xmlns:xlrd2="http://schemas.microsoft.com/office/spreadsheetml/2017/richdata2" ref="A2:H523">
    <sortCondition ref="D2:D523"/>
  </sortState>
  <conditionalFormatting sqref="G2:G1048576">
    <cfRule type="cellIs" dxfId="167" priority="1" operator="equal">
      <formula>"Weekback"</formula>
    </cfRule>
    <cfRule type="cellIs" dxfId="166" priority="3" operator="equal">
      <formula>"No Weekback"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0C79-36DF-4E9A-8355-B289A1015CF8}">
  <dimension ref="C5:S23"/>
  <sheetViews>
    <sheetView showGridLines="0" showRowColHeaders="0" tabSelected="1" topLeftCell="A2" workbookViewId="0">
      <selection activeCell="F5" sqref="F5:K6"/>
    </sheetView>
  </sheetViews>
  <sheetFormatPr defaultRowHeight="15"/>
  <cols>
    <col min="10" max="10" width="3.140625" customWidth="1"/>
    <col min="16384" max="16384" width="9.140625" bestFit="1" customWidth="1"/>
  </cols>
  <sheetData>
    <row r="5" spans="3:19" ht="15" customHeight="1">
      <c r="C5" s="56"/>
      <c r="D5" s="56"/>
      <c r="E5" s="56"/>
      <c r="F5" s="163" t="s">
        <v>106</v>
      </c>
      <c r="G5" s="164"/>
      <c r="H5" s="164"/>
      <c r="I5" s="164"/>
      <c r="J5" s="164"/>
      <c r="K5" s="165"/>
      <c r="L5" s="56"/>
      <c r="M5" s="56"/>
      <c r="N5" s="56"/>
      <c r="O5" s="56"/>
      <c r="P5" s="56"/>
      <c r="Q5" s="56"/>
    </row>
    <row r="6" spans="3:19" ht="15" customHeight="1">
      <c r="C6" s="56"/>
      <c r="D6" s="56"/>
      <c r="E6" s="56"/>
      <c r="F6" s="166"/>
      <c r="G6" s="167"/>
      <c r="H6" s="167"/>
      <c r="I6" s="167"/>
      <c r="J6" s="167"/>
      <c r="K6" s="168"/>
      <c r="L6" s="56"/>
      <c r="M6" s="56"/>
      <c r="N6" s="56"/>
      <c r="O6" s="56"/>
      <c r="P6" s="56"/>
      <c r="Q6" s="56"/>
    </row>
    <row r="7" spans="3:19" ht="15" customHeight="1">
      <c r="C7" s="56"/>
      <c r="D7" s="56"/>
      <c r="E7" s="56"/>
      <c r="F7" s="169" t="s">
        <v>232</v>
      </c>
      <c r="G7" s="169"/>
      <c r="H7" s="170" t="str">
        <f>_xlfn.XLOOKUP(F5,'All '!B:B,'All '!A:A,"Not Available")</f>
        <v>TDAA003</v>
      </c>
      <c r="I7" s="170"/>
      <c r="J7" s="56"/>
      <c r="K7" s="56"/>
      <c r="L7" s="56"/>
      <c r="M7" s="56"/>
      <c r="N7" s="56"/>
      <c r="O7" s="56"/>
      <c r="P7" s="56"/>
      <c r="Q7" s="56"/>
      <c r="R7" s="57"/>
    </row>
    <row r="8" spans="3:19" ht="15" customHeight="1">
      <c r="C8" s="56"/>
      <c r="D8" s="56"/>
      <c r="E8" s="56"/>
      <c r="F8" s="169"/>
      <c r="G8" s="169"/>
      <c r="H8" s="170"/>
      <c r="I8" s="170"/>
      <c r="J8" s="56"/>
      <c r="K8" s="56"/>
      <c r="L8" s="56"/>
      <c r="M8" s="56"/>
      <c r="N8" s="56"/>
      <c r="O8" s="56"/>
      <c r="P8" s="56"/>
      <c r="Q8" s="56"/>
      <c r="R8" s="57"/>
      <c r="S8" s="59"/>
    </row>
    <row r="9" spans="3:19" ht="6" customHeight="1" thickBot="1"/>
    <row r="10" spans="3:19" ht="26.25" thickBot="1">
      <c r="C10" s="181" t="s">
        <v>233</v>
      </c>
      <c r="D10" s="182"/>
      <c r="E10" s="182"/>
      <c r="F10" s="182"/>
      <c r="G10" s="182"/>
      <c r="H10" s="182"/>
      <c r="I10" s="183"/>
      <c r="K10" s="184" t="s">
        <v>234</v>
      </c>
      <c r="L10" s="185"/>
      <c r="M10" s="185"/>
      <c r="N10" s="185"/>
      <c r="O10" s="185"/>
      <c r="P10" s="185"/>
      <c r="Q10" s="186"/>
    </row>
    <row r="11" spans="3:19" ht="21">
      <c r="C11" s="171" t="s">
        <v>2</v>
      </c>
      <c r="D11" s="172"/>
      <c r="E11" s="172"/>
      <c r="F11" s="173" t="str">
        <f>_xlfn.XLOOKUP(F5,'All '!B:B,'All '!C:C,"Not Available")</f>
        <v>PythonDjango-Angular</v>
      </c>
      <c r="G11" s="173"/>
      <c r="H11" s="173"/>
      <c r="I11" s="174"/>
      <c r="K11" s="175" t="s">
        <v>235</v>
      </c>
      <c r="L11" s="176"/>
      <c r="M11" s="177"/>
      <c r="N11" s="178" t="str">
        <f>_xlfn.XLOOKUP(F5,'All '!B:B,'All '!C:C,"Not Available")</f>
        <v>PythonDjango-Angular</v>
      </c>
      <c r="O11" s="179"/>
      <c r="P11" s="179"/>
      <c r="Q11" s="180"/>
    </row>
    <row r="12" spans="3:19" ht="21">
      <c r="C12" s="187" t="s">
        <v>3</v>
      </c>
      <c r="D12" s="188"/>
      <c r="E12" s="188"/>
      <c r="F12" s="189" t="str">
        <f>_xlfn.XLOOKUP(F5,'All '!B:B,'All '!D:D,"Not Available")</f>
        <v>Python</v>
      </c>
      <c r="G12" s="189"/>
      <c r="H12" s="189"/>
      <c r="I12" s="190"/>
      <c r="K12" s="191" t="s">
        <v>221</v>
      </c>
      <c r="L12" s="192"/>
      <c r="M12" s="193"/>
      <c r="N12" s="194">
        <v>1</v>
      </c>
      <c r="O12" s="195"/>
      <c r="P12" s="195"/>
      <c r="Q12" s="196"/>
    </row>
    <row r="13" spans="3:19" ht="21">
      <c r="C13" s="187" t="s">
        <v>4</v>
      </c>
      <c r="D13" s="188"/>
      <c r="E13" s="188"/>
      <c r="F13" s="189" t="str">
        <f>_xlfn.XLOOKUP(F5,'All '!B:B,'All '!E:E,"Not Available")</f>
        <v xml:space="preserve">file handling </v>
      </c>
      <c r="G13" s="189"/>
      <c r="H13" s="189"/>
      <c r="I13" s="190"/>
      <c r="K13" s="203" t="s">
        <v>236</v>
      </c>
      <c r="L13" s="204"/>
      <c r="M13" s="205"/>
      <c r="N13" s="206" cm="1">
        <f t="array" ref="N13">_xlfn.XLOOKUP(1,('Review History'!B:B=Dashboard.!F5)*('Review History'!D:D=Dashboard.!N12),'Review History'!E:E,"Not Available")</f>
        <v>46182</v>
      </c>
      <c r="O13" s="207"/>
      <c r="P13" s="207"/>
      <c r="Q13" s="208"/>
    </row>
    <row r="14" spans="3:19" ht="21">
      <c r="C14" s="187" t="s">
        <v>237</v>
      </c>
      <c r="D14" s="188"/>
      <c r="E14" s="188"/>
      <c r="F14" s="189" t="str">
        <f>_xlfn.XLOOKUP(F5,'All '!B:B,'All '!H:H,"Not Available")</f>
        <v>Jan Sabith</v>
      </c>
      <c r="G14" s="189"/>
      <c r="H14" s="189"/>
      <c r="I14" s="190"/>
      <c r="K14" s="203" t="s">
        <v>223</v>
      </c>
      <c r="L14" s="204"/>
      <c r="M14" s="205"/>
      <c r="N14" s="209" cm="1">
        <f t="array" ref="N14">_xlfn.XLOOKUP(1,('Review History'!B:B=Dashboard.!F5)*('Review History'!D:D=Dashboard.!N12)*('Review History'!E:E=Dashboard.!N13),'Review History'!F:F,"Not Available")</f>
        <v>4</v>
      </c>
      <c r="O14" s="210"/>
      <c r="P14" s="210"/>
      <c r="Q14" s="211"/>
    </row>
    <row r="15" spans="3:19" ht="21">
      <c r="C15" s="187" t="s">
        <v>238</v>
      </c>
      <c r="D15" s="188"/>
      <c r="E15" s="188"/>
      <c r="F15" s="216" t="str">
        <f>IF(_xlfn.XLOOKUP(F5,'All '!B:B,'All '!F:F,"")="","Not Available",_xlfn.XLOOKUP(#REF!,'All '!B:B,'All '!F:F,""))</f>
        <v>Not Available</v>
      </c>
      <c r="G15" s="216"/>
      <c r="H15" s="216"/>
      <c r="I15" s="217"/>
      <c r="K15" s="218" t="s">
        <v>10</v>
      </c>
      <c r="L15" s="219"/>
      <c r="M15" s="219"/>
      <c r="N15" s="197" t="str">
        <f>IF(N14&lt;7,"Weekback","No Weekback")</f>
        <v>Weekback</v>
      </c>
      <c r="O15" s="197"/>
      <c r="P15" s="197"/>
      <c r="Q15" s="198"/>
    </row>
    <row r="16" spans="3:19" ht="21.75" thickBot="1">
      <c r="C16" s="212" t="s">
        <v>239</v>
      </c>
      <c r="D16" s="213"/>
      <c r="E16" s="213"/>
      <c r="F16" s="214">
        <f>_xlfn.XLOOKUP(F5,'All '!B:B,'All '!G:G,"Not Available")</f>
        <v>46337</v>
      </c>
      <c r="G16" s="214"/>
      <c r="H16" s="214"/>
      <c r="I16" s="215"/>
      <c r="K16" s="199" t="s">
        <v>224</v>
      </c>
      <c r="L16" s="200"/>
      <c r="M16" s="200"/>
      <c r="N16" s="201" t="str">
        <f>IF(_xlfn.XLOOKUP(F5,'Review History'!B:B,'Review History'!H:H,"Not Available")="","Not Available")</f>
        <v>Not Available</v>
      </c>
      <c r="O16" s="201"/>
      <c r="P16" s="201"/>
      <c r="Q16" s="202"/>
    </row>
    <row r="17" spans="3:17" ht="10.5" customHeight="1">
      <c r="C17" s="61"/>
      <c r="D17" s="61"/>
      <c r="E17" s="61"/>
      <c r="F17" s="82"/>
      <c r="G17" s="82"/>
      <c r="H17" s="82"/>
      <c r="I17" s="82"/>
      <c r="K17" s="61"/>
      <c r="L17" s="61"/>
      <c r="M17" s="61"/>
      <c r="N17" s="62"/>
      <c r="O17" s="62"/>
      <c r="P17" s="62"/>
      <c r="Q17" s="62"/>
    </row>
    <row r="18" spans="3:17" ht="26.25" thickBot="1">
      <c r="C18" s="237" t="s">
        <v>240</v>
      </c>
      <c r="D18" s="238"/>
      <c r="E18" s="238"/>
      <c r="F18" s="238"/>
      <c r="G18" s="238"/>
      <c r="H18" s="238"/>
      <c r="I18" s="239"/>
      <c r="K18" s="249" t="s">
        <v>241</v>
      </c>
      <c r="L18" s="250"/>
      <c r="M18" s="250"/>
      <c r="N18" s="250"/>
      <c r="O18" s="250"/>
      <c r="P18" s="250"/>
      <c r="Q18" s="251"/>
    </row>
    <row r="19" spans="3:17" ht="21">
      <c r="C19" s="240" t="s">
        <v>242</v>
      </c>
      <c r="D19" s="241"/>
      <c r="E19" s="241"/>
      <c r="F19" s="242">
        <v>46213</v>
      </c>
      <c r="G19" s="242"/>
      <c r="H19" s="242"/>
      <c r="I19" s="243"/>
      <c r="K19" s="277" t="s">
        <v>243</v>
      </c>
      <c r="L19" s="278"/>
      <c r="M19" s="278"/>
      <c r="N19" s="254">
        <f>'Presentation History'!M9</f>
        <v>1</v>
      </c>
      <c r="O19" s="255"/>
      <c r="P19" s="255"/>
      <c r="Q19" s="256"/>
    </row>
    <row r="20" spans="3:17" ht="18.75" customHeight="1">
      <c r="C20" s="226" t="s">
        <v>10</v>
      </c>
      <c r="D20" s="227"/>
      <c r="E20" s="227"/>
      <c r="F20" s="228" t="str">
        <f>IFERROR(INDEX('Staff - Student'!E2:V1007,MATCH(F5,'Staff - Student'!C2:C1007,0),MATCH(F19,'Staff - Student'!E1:DK1,0)),"Not Marked")</f>
        <v>Not Marked</v>
      </c>
      <c r="G20" s="229"/>
      <c r="H20" s="229"/>
      <c r="I20" s="230"/>
      <c r="K20" s="266" t="s">
        <v>244</v>
      </c>
      <c r="L20" s="267"/>
      <c r="M20" s="268"/>
      <c r="N20" s="252" t="str" cm="1">
        <f t="array" ref="N20">_xlfn.XLOOKUP(1,('Presentation History'!B:B=Dashboard.!F5)*('Presentation History'!F:F=Dashboard.!N19),'Presentation History'!C:C,"Not Found")</f>
        <v>Web3</v>
      </c>
      <c r="O20" s="252"/>
      <c r="P20" s="252"/>
      <c r="Q20" s="253"/>
    </row>
    <row r="21" spans="3:17" ht="18.75" customHeight="1">
      <c r="C21" s="244" t="s">
        <v>245</v>
      </c>
      <c r="D21" s="245"/>
      <c r="E21" s="245"/>
      <c r="F21" s="246">
        <f>SUM(F22:I23)</f>
        <v>28.5</v>
      </c>
      <c r="G21" s="247"/>
      <c r="H21" s="247"/>
      <c r="I21" s="248"/>
      <c r="K21" s="269"/>
      <c r="L21" s="270"/>
      <c r="M21" s="271"/>
      <c r="N21" s="252"/>
      <c r="O21" s="252"/>
      <c r="P21" s="252"/>
      <c r="Q21" s="253"/>
    </row>
    <row r="22" spans="3:17" ht="21">
      <c r="C22" s="231" t="s">
        <v>246</v>
      </c>
      <c r="D22" s="232"/>
      <c r="E22" s="233"/>
      <c r="F22" s="234">
        <f>_xlfn.XLOOKUP(F5,'Staff - Student'!C:C,'Staff - Student'!JF:JF,"Not Available")</f>
        <v>25.5</v>
      </c>
      <c r="G22" s="235"/>
      <c r="H22" s="235"/>
      <c r="I22" s="236"/>
      <c r="K22" s="260" t="s">
        <v>9</v>
      </c>
      <c r="L22" s="261"/>
      <c r="M22" s="262"/>
      <c r="N22" s="263" cm="1">
        <f t="array" ref="N22">_xlfn.LET(
_xlpm.d,_xlfn.XLOOKUP(
1,
('Presentation History'!B:B=F5)*('Presentation History'!F:F=N19),
'Presentation History'!D:D,
"Not Available"
),
IF(OR(_xlpm.d="",_xlpm.d="Not Available"),"Not Available",_xlpm.d))</f>
        <v>46211</v>
      </c>
      <c r="O22" s="264"/>
      <c r="P22" s="264"/>
      <c r="Q22" s="265"/>
    </row>
    <row r="23" spans="3:17" ht="18.75" customHeight="1" thickBot="1">
      <c r="C23" s="220" t="s">
        <v>247</v>
      </c>
      <c r="D23" s="221"/>
      <c r="E23" s="222"/>
      <c r="F23" s="223">
        <f>_xlfn.XLOOKUP(F5,'Staff - Student'!C:C,'Staff - Student'!JG:JG,"Not Available")</f>
        <v>3</v>
      </c>
      <c r="G23" s="224"/>
      <c r="H23" s="224"/>
      <c r="I23" s="225"/>
      <c r="K23" s="279" t="s">
        <v>10</v>
      </c>
      <c r="L23" s="280"/>
      <c r="M23" s="281"/>
      <c r="N23" s="257" t="str" cm="1">
        <f t="array" ref="N23">IF(_xlfn.XLOOKUP(1,('Presentation History'!B:B=Dashboard.!F5)*('Presentation History'!F:F=Dashboard.!N19)*('Presentation History'!C:C=Dashboard.!N20),'Presentation History'!E:E)="Done","Done","Not Done")</f>
        <v>Done</v>
      </c>
      <c r="O23" s="258"/>
      <c r="P23" s="258"/>
      <c r="Q23" s="259"/>
    </row>
  </sheetData>
  <mergeCells count="49">
    <mergeCell ref="K18:Q18"/>
    <mergeCell ref="K19:M19"/>
    <mergeCell ref="N20:Q21"/>
    <mergeCell ref="N19:Q19"/>
    <mergeCell ref="K23:M23"/>
    <mergeCell ref="N23:Q23"/>
    <mergeCell ref="K22:M22"/>
    <mergeCell ref="N22:Q22"/>
    <mergeCell ref="K20:M21"/>
    <mergeCell ref="C18:I18"/>
    <mergeCell ref="C19:E19"/>
    <mergeCell ref="F19:I19"/>
    <mergeCell ref="C21:E21"/>
    <mergeCell ref="F21:I21"/>
    <mergeCell ref="C23:E23"/>
    <mergeCell ref="F23:I23"/>
    <mergeCell ref="C20:E20"/>
    <mergeCell ref="F20:I20"/>
    <mergeCell ref="C22:E22"/>
    <mergeCell ref="F22:I22"/>
    <mergeCell ref="N15:Q15"/>
    <mergeCell ref="K16:M16"/>
    <mergeCell ref="N16:Q16"/>
    <mergeCell ref="C13:E13"/>
    <mergeCell ref="F13:I13"/>
    <mergeCell ref="K13:M13"/>
    <mergeCell ref="N13:Q13"/>
    <mergeCell ref="C14:E14"/>
    <mergeCell ref="F14:I14"/>
    <mergeCell ref="K14:M14"/>
    <mergeCell ref="N14:Q14"/>
    <mergeCell ref="C16:E16"/>
    <mergeCell ref="F16:I16"/>
    <mergeCell ref="C15:E15"/>
    <mergeCell ref="F15:I15"/>
    <mergeCell ref="K15:M15"/>
    <mergeCell ref="N11:Q11"/>
    <mergeCell ref="C10:I10"/>
    <mergeCell ref="K10:Q10"/>
    <mergeCell ref="C12:E12"/>
    <mergeCell ref="F12:I12"/>
    <mergeCell ref="K12:M12"/>
    <mergeCell ref="N12:Q12"/>
    <mergeCell ref="F5:K6"/>
    <mergeCell ref="F7:G8"/>
    <mergeCell ref="H7:I8"/>
    <mergeCell ref="C11:E11"/>
    <mergeCell ref="F11:I11"/>
    <mergeCell ref="K11:M11"/>
  </mergeCells>
  <conditionalFormatting sqref="F20:I20">
    <cfRule type="cellIs" dxfId="165" priority="1" operator="equal">
      <formula>"Half Day"</formula>
    </cfRule>
    <cfRule type="cellIs" dxfId="164" priority="2" operator="equal">
      <formula>"Absent"</formula>
    </cfRule>
    <cfRule type="cellIs" dxfId="163" priority="3" operator="equal">
      <formula>"Present"</formula>
    </cfRule>
  </conditionalFormatting>
  <conditionalFormatting sqref="N22">
    <cfRule type="cellIs" dxfId="162" priority="10" operator="equal">
      <formula>"No"</formula>
    </cfRule>
    <cfRule type="cellIs" dxfId="161" priority="11" operator="equal">
      <formula>"Done"</formula>
    </cfRule>
  </conditionalFormatting>
  <conditionalFormatting sqref="N15:Q15">
    <cfRule type="cellIs" dxfId="160" priority="6" operator="equal">
      <formula>"No Weekback"</formula>
    </cfRule>
    <cfRule type="cellIs" dxfId="159" priority="9" operator="equal">
      <formula>"Weekback"</formula>
    </cfRule>
  </conditionalFormatting>
  <conditionalFormatting sqref="N23:Q23">
    <cfRule type="cellIs" dxfId="158" priority="4" operator="equal">
      <formula>"Not Done"</formula>
    </cfRule>
    <cfRule type="cellIs" dxfId="157" priority="5" operator="equal">
      <formula>"Done"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AB89BE4-040A-4D1D-B34A-4625EB4C893A}">
          <x14:formula1>
            <xm:f>_xlfn.ANCHORARRAY('Review History'!$J$2)</xm:f>
          </x14:formula1>
          <xm:sqref>N12:Q12</xm:sqref>
        </x14:dataValidation>
        <x14:dataValidation type="list" allowBlank="1" showInputMessage="1" showErrorMessage="1" xr:uid="{FFC0FCD7-1389-4616-BC02-F6DA0F978535}">
          <x14:formula1>
            <xm:f>_xlfn.ANCHORARRAY('Presentation History'!$M$9)</xm:f>
          </x14:formula1>
          <xm:sqref>N19</xm:sqref>
        </x14:dataValidation>
        <x14:dataValidation type="list" allowBlank="1" showInputMessage="1" showErrorMessage="1" xr:uid="{E33CCF2E-A77E-4566-BBE3-7F0128E65029}">
          <x14:formula1>
            <xm:f>'Staff - Student'!$C$2:$C$1048576</xm:f>
          </x14:formula1>
          <xm:sqref>F5:K6</xm:sqref>
        </x14:dataValidation>
        <x14:dataValidation type="list" allowBlank="1" showInputMessage="1" showErrorMessage="1" xr:uid="{5DECABAD-7D8B-43B5-883B-E1BD1FE0845E}">
          <x14:formula1>
            <xm:f>'Staff - Student'!$E$1:$XFD$1</xm:f>
          </x14:formula1>
          <xm:sqref>F19:I19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2020-BF4B-4978-B68A-A92C5F688227}">
  <dimension ref="A1:JI545"/>
  <sheetViews>
    <sheetView topLeftCell="B1" workbookViewId="0">
      <pane xSplit="3" topLeftCell="AJ38" activePane="topRight" state="frozen"/>
      <selection pane="topRight" activeCell="AO49" sqref="AO49"/>
      <selection activeCell="E24" sqref="E24"/>
    </sheetView>
  </sheetViews>
  <sheetFormatPr defaultColWidth="9.140625" defaultRowHeight="15"/>
  <cols>
    <col min="1" max="1" width="9.140625" style="7"/>
    <col min="2" max="2" width="17.5703125" style="7" customWidth="1"/>
    <col min="3" max="3" width="24.140625" style="7" customWidth="1"/>
    <col min="4" max="4" width="19.5703125" style="7" customWidth="1"/>
    <col min="5" max="22" width="15.7109375" style="7" customWidth="1"/>
    <col min="23" max="23" width="13.5703125" style="7" customWidth="1"/>
    <col min="24" max="24" width="14.5703125" style="7" customWidth="1"/>
    <col min="25" max="29" width="9.140625" style="7" bestFit="1" customWidth="1"/>
    <col min="30" max="42" width="9.7109375" style="7" bestFit="1" customWidth="1"/>
    <col min="43" max="51" width="9.140625" style="7" bestFit="1" customWidth="1"/>
    <col min="52" max="72" width="9.42578125" style="7" bestFit="1" customWidth="1"/>
    <col min="73" max="81" width="9.140625" style="7" bestFit="1" customWidth="1"/>
    <col min="82" max="103" width="9.28515625" style="7" bestFit="1" customWidth="1"/>
    <col min="104" max="107" width="9.140625" style="7" bestFit="1" customWidth="1"/>
    <col min="108" max="262" width="9.140625" style="7"/>
    <col min="263" max="263" width="13.5703125" style="7" bestFit="1" customWidth="1"/>
    <col min="264" max="264" width="9.5703125" style="7" customWidth="1"/>
    <col min="265" max="265" width="15.42578125" style="7" customWidth="1"/>
    <col min="266" max="16384" width="9.140625" style="7"/>
  </cols>
  <sheetData>
    <row r="1" spans="1:269" s="13" customFormat="1">
      <c r="A1" s="13" t="s">
        <v>248</v>
      </c>
      <c r="B1" s="74" t="s">
        <v>7</v>
      </c>
      <c r="C1" s="75" t="s">
        <v>1</v>
      </c>
      <c r="D1" s="75" t="s">
        <v>235</v>
      </c>
      <c r="E1" s="76" t="s">
        <v>249</v>
      </c>
      <c r="F1" s="76" t="s">
        <v>250</v>
      </c>
      <c r="G1" s="76" t="s">
        <v>251</v>
      </c>
      <c r="H1" s="76" t="s">
        <v>252</v>
      </c>
      <c r="I1" s="76" t="s">
        <v>253</v>
      </c>
      <c r="J1" s="76" t="s">
        <v>254</v>
      </c>
      <c r="K1" s="76" t="s">
        <v>255</v>
      </c>
      <c r="L1" s="76" t="s">
        <v>256</v>
      </c>
      <c r="M1" s="76" t="s">
        <v>257</v>
      </c>
      <c r="N1" s="76" t="s">
        <v>258</v>
      </c>
      <c r="O1" s="76" t="s">
        <v>259</v>
      </c>
      <c r="P1" s="76" t="s">
        <v>260</v>
      </c>
      <c r="Q1" s="76" t="s">
        <v>261</v>
      </c>
      <c r="R1" s="76" t="s">
        <v>262</v>
      </c>
      <c r="S1" s="76" t="s">
        <v>263</v>
      </c>
      <c r="T1" s="76" t="s">
        <v>264</v>
      </c>
      <c r="U1" s="76" t="s">
        <v>265</v>
      </c>
      <c r="V1" s="76" t="s">
        <v>266</v>
      </c>
      <c r="W1" s="76" t="s">
        <v>267</v>
      </c>
      <c r="X1" s="76" t="s">
        <v>268</v>
      </c>
      <c r="Y1" s="76" t="s">
        <v>269</v>
      </c>
      <c r="Z1" s="76" t="s">
        <v>270</v>
      </c>
      <c r="AA1" s="76" t="s">
        <v>271</v>
      </c>
      <c r="AB1" s="76" t="s">
        <v>272</v>
      </c>
      <c r="AC1" s="76" t="s">
        <v>273</v>
      </c>
      <c r="AD1" s="76" t="s">
        <v>274</v>
      </c>
      <c r="AE1" s="76" t="s">
        <v>275</v>
      </c>
      <c r="AF1" s="76" t="s">
        <v>276</v>
      </c>
      <c r="AG1" s="76" t="s">
        <v>277</v>
      </c>
      <c r="AH1" s="76" t="s">
        <v>278</v>
      </c>
      <c r="AI1" s="76" t="s">
        <v>279</v>
      </c>
      <c r="AJ1" s="76" t="s">
        <v>280</v>
      </c>
      <c r="AK1" s="76" t="s">
        <v>281</v>
      </c>
      <c r="AL1" s="76" t="s">
        <v>282</v>
      </c>
      <c r="AM1" s="76" t="s">
        <v>283</v>
      </c>
      <c r="AN1" s="76" t="s">
        <v>284</v>
      </c>
      <c r="AO1" s="76" t="s">
        <v>285</v>
      </c>
      <c r="AP1" s="76" t="s">
        <v>286</v>
      </c>
      <c r="AQ1" s="76" t="s">
        <v>287</v>
      </c>
      <c r="AR1" s="76" t="s">
        <v>288</v>
      </c>
      <c r="AS1" s="76" t="s">
        <v>289</v>
      </c>
      <c r="AT1" s="76" t="s">
        <v>290</v>
      </c>
      <c r="AU1" s="76" t="s">
        <v>291</v>
      </c>
      <c r="AV1" s="76" t="s">
        <v>292</v>
      </c>
      <c r="AW1" s="76" t="s">
        <v>293</v>
      </c>
      <c r="AX1" s="76" t="s">
        <v>294</v>
      </c>
      <c r="AY1" s="76" t="s">
        <v>295</v>
      </c>
      <c r="AZ1" s="76" t="s">
        <v>296</v>
      </c>
      <c r="BA1" s="76" t="s">
        <v>297</v>
      </c>
      <c r="BB1" s="76" t="s">
        <v>298</v>
      </c>
      <c r="BC1" s="76" t="s">
        <v>299</v>
      </c>
      <c r="BD1" s="76" t="s">
        <v>300</v>
      </c>
      <c r="BE1" s="76" t="s">
        <v>301</v>
      </c>
      <c r="BF1" s="76" t="s">
        <v>302</v>
      </c>
      <c r="BG1" s="76" t="s">
        <v>303</v>
      </c>
      <c r="BH1" s="76" t="s">
        <v>304</v>
      </c>
      <c r="BI1" s="76" t="s">
        <v>305</v>
      </c>
      <c r="BJ1" s="76" t="s">
        <v>306</v>
      </c>
      <c r="BK1" s="76" t="s">
        <v>307</v>
      </c>
      <c r="BL1" s="76" t="s">
        <v>308</v>
      </c>
      <c r="BM1" s="76" t="s">
        <v>309</v>
      </c>
      <c r="BN1" s="76" t="s">
        <v>310</v>
      </c>
      <c r="BO1" s="76" t="s">
        <v>311</v>
      </c>
      <c r="BP1" s="76" t="s">
        <v>312</v>
      </c>
      <c r="BQ1" s="76" t="s">
        <v>313</v>
      </c>
      <c r="BR1" s="76" t="s">
        <v>314</v>
      </c>
      <c r="BS1" s="76" t="s">
        <v>315</v>
      </c>
      <c r="BT1" s="76" t="s">
        <v>316</v>
      </c>
      <c r="BU1" s="76" t="s">
        <v>317</v>
      </c>
      <c r="BV1" s="76" t="s">
        <v>318</v>
      </c>
      <c r="BW1" s="76" t="s">
        <v>319</v>
      </c>
      <c r="BX1" s="76" t="s">
        <v>320</v>
      </c>
      <c r="BY1" s="76" t="s">
        <v>321</v>
      </c>
      <c r="BZ1" s="76" t="s">
        <v>322</v>
      </c>
      <c r="CA1" s="76" t="s">
        <v>323</v>
      </c>
      <c r="CB1" s="76" t="s">
        <v>324</v>
      </c>
      <c r="CC1" s="76" t="s">
        <v>325</v>
      </c>
      <c r="CD1" s="76" t="s">
        <v>326</v>
      </c>
      <c r="CE1" s="76" t="s">
        <v>327</v>
      </c>
      <c r="CF1" s="76" t="s">
        <v>328</v>
      </c>
      <c r="CG1" s="76" t="s">
        <v>329</v>
      </c>
      <c r="CH1" s="76" t="s">
        <v>330</v>
      </c>
      <c r="CI1" s="76" t="s">
        <v>331</v>
      </c>
      <c r="CJ1" s="76" t="s">
        <v>332</v>
      </c>
      <c r="CK1" s="76" t="s">
        <v>333</v>
      </c>
      <c r="CL1" s="76" t="s">
        <v>334</v>
      </c>
      <c r="CM1" s="76" t="s">
        <v>335</v>
      </c>
      <c r="CN1" s="76" t="s">
        <v>336</v>
      </c>
      <c r="CO1" s="76" t="s">
        <v>337</v>
      </c>
      <c r="CP1" s="76" t="s">
        <v>338</v>
      </c>
      <c r="CQ1" s="76" t="s">
        <v>339</v>
      </c>
      <c r="CR1" s="76" t="s">
        <v>340</v>
      </c>
      <c r="CS1" s="76" t="s">
        <v>341</v>
      </c>
      <c r="CT1" s="76" t="s">
        <v>342</v>
      </c>
      <c r="CU1" s="76" t="s">
        <v>343</v>
      </c>
      <c r="CV1" s="76" t="s">
        <v>344</v>
      </c>
      <c r="CW1" s="76" t="s">
        <v>345</v>
      </c>
      <c r="CX1" s="76" t="s">
        <v>346</v>
      </c>
      <c r="CY1" s="76" t="s">
        <v>347</v>
      </c>
      <c r="CZ1" s="76" t="s">
        <v>348</v>
      </c>
      <c r="DA1" s="76" t="s">
        <v>349</v>
      </c>
      <c r="DB1" s="76" t="s">
        <v>350</v>
      </c>
      <c r="DC1" s="77" t="s">
        <v>351</v>
      </c>
      <c r="JF1" s="13" t="s">
        <v>246</v>
      </c>
      <c r="JG1" s="13" t="s">
        <v>352</v>
      </c>
    </row>
    <row r="2" spans="1:269" s="17" customFormat="1">
      <c r="A2" s="17">
        <v>1</v>
      </c>
      <c r="B2" s="63" t="s">
        <v>205</v>
      </c>
      <c r="C2" s="18" t="s">
        <v>203</v>
      </c>
      <c r="D2" s="15" t="s">
        <v>353</v>
      </c>
      <c r="E2" s="17" t="s">
        <v>354</v>
      </c>
      <c r="F2" s="17" t="s">
        <v>352</v>
      </c>
      <c r="G2" s="17" t="s">
        <v>354</v>
      </c>
      <c r="H2" s="17" t="s">
        <v>352</v>
      </c>
      <c r="I2" s="17" t="s">
        <v>354</v>
      </c>
      <c r="J2" s="17" t="s">
        <v>354</v>
      </c>
      <c r="K2" s="17" t="s">
        <v>352</v>
      </c>
      <c r="L2" s="17" t="s">
        <v>352</v>
      </c>
      <c r="M2" s="17" t="s">
        <v>354</v>
      </c>
      <c r="N2" s="17" t="s">
        <v>352</v>
      </c>
      <c r="O2" s="17" t="s">
        <v>352</v>
      </c>
      <c r="P2" s="17" t="s">
        <v>352</v>
      </c>
      <c r="Q2" s="17" t="s">
        <v>352</v>
      </c>
      <c r="R2" s="17" t="s">
        <v>352</v>
      </c>
      <c r="S2" s="17" t="s">
        <v>352</v>
      </c>
      <c r="T2" s="17" t="s">
        <v>352</v>
      </c>
      <c r="U2" s="17" t="s">
        <v>352</v>
      </c>
      <c r="V2" s="17" t="s">
        <v>352</v>
      </c>
      <c r="W2" s="17" t="s">
        <v>352</v>
      </c>
      <c r="X2" s="17" t="s">
        <v>352</v>
      </c>
      <c r="Y2" s="17" t="s">
        <v>352</v>
      </c>
      <c r="Z2" s="17" t="s">
        <v>352</v>
      </c>
      <c r="AA2" s="17" t="s">
        <v>352</v>
      </c>
      <c r="AB2" s="17" t="s">
        <v>354</v>
      </c>
      <c r="AC2" s="17" t="s">
        <v>354</v>
      </c>
      <c r="AD2" s="17" t="s">
        <v>354</v>
      </c>
      <c r="AE2" s="17" t="s">
        <v>352</v>
      </c>
      <c r="AF2" s="17" t="s">
        <v>352</v>
      </c>
      <c r="AG2" s="17" t="s">
        <v>352</v>
      </c>
      <c r="DC2" s="70"/>
      <c r="IR2" s="13"/>
      <c r="IW2" s="13"/>
      <c r="JA2" s="13"/>
      <c r="JF2" s="17">
        <f>COUNTIF(E2:DK2,"Present")+(COUNTIF(E2:DK2,"Half Day")*0.5)</f>
        <v>8</v>
      </c>
      <c r="JG2" s="17">
        <f>COUNTIF($E2:$DK2,"Absent")+(COUNTIF($E2:$DK2,"P(Half Day)")*0.5)</f>
        <v>21</v>
      </c>
      <c r="JI2" s="17">
        <f>COUNTIF($E2:$JE2,"Present")+(COUNTIF($E2:$JE2,"Half Day")*0.5)</f>
        <v>8</v>
      </c>
    </row>
    <row r="3" spans="1:269" s="17" customFormat="1">
      <c r="A3" s="17">
        <v>2</v>
      </c>
      <c r="B3" s="80"/>
      <c r="C3" s="18" t="s">
        <v>214</v>
      </c>
      <c r="D3" s="15" t="s">
        <v>353</v>
      </c>
      <c r="E3" s="17" t="s">
        <v>352</v>
      </c>
      <c r="F3" s="17" t="s">
        <v>352</v>
      </c>
      <c r="G3" s="17" t="s">
        <v>354</v>
      </c>
      <c r="H3" s="17" t="s">
        <v>354</v>
      </c>
      <c r="I3" s="17" t="s">
        <v>354</v>
      </c>
      <c r="J3" s="17" t="s">
        <v>354</v>
      </c>
      <c r="K3" s="17" t="s">
        <v>354</v>
      </c>
      <c r="L3" s="17" t="s">
        <v>354</v>
      </c>
      <c r="M3" s="17" t="s">
        <v>352</v>
      </c>
      <c r="N3" s="17" t="s">
        <v>352</v>
      </c>
      <c r="O3" s="17" t="s">
        <v>352</v>
      </c>
      <c r="P3" s="17" t="s">
        <v>354</v>
      </c>
      <c r="Q3" s="17" t="s">
        <v>352</v>
      </c>
      <c r="R3" s="17" t="s">
        <v>352</v>
      </c>
      <c r="S3" s="17" t="s">
        <v>352</v>
      </c>
      <c r="T3" s="17" t="s">
        <v>354</v>
      </c>
      <c r="U3" s="17" t="s">
        <v>352</v>
      </c>
      <c r="V3" s="17" t="s">
        <v>354</v>
      </c>
      <c r="W3" s="17" t="s">
        <v>354</v>
      </c>
      <c r="X3" s="17" t="s">
        <v>354</v>
      </c>
      <c r="Y3" s="17" t="s">
        <v>352</v>
      </c>
      <c r="Z3" s="17" t="s">
        <v>354</v>
      </c>
      <c r="AA3" s="17" t="s">
        <v>354</v>
      </c>
      <c r="AB3" s="17" t="s">
        <v>354</v>
      </c>
      <c r="AC3" s="17" t="s">
        <v>354</v>
      </c>
      <c r="AD3" s="17" t="s">
        <v>354</v>
      </c>
      <c r="AE3" s="17" t="s">
        <v>354</v>
      </c>
      <c r="AF3" s="17" t="s">
        <v>352</v>
      </c>
      <c r="AG3" s="17" t="s">
        <v>352</v>
      </c>
      <c r="DC3" s="70"/>
      <c r="IR3" s="13"/>
      <c r="IW3" s="13"/>
      <c r="JA3" s="13"/>
      <c r="JF3" s="17">
        <f>COUNTIF(E3:DK3,"Present")+(COUNTIF(E3:DK3,"Half Day")*0.5)</f>
        <v>17</v>
      </c>
      <c r="JG3" s="17">
        <f>COUNTIF($E3:$DK3,"Absent")+(COUNTIF($E3:$DK3,"P(Half Day)")*0.5)</f>
        <v>12</v>
      </c>
    </row>
    <row r="4" spans="1:269" s="17" customFormat="1">
      <c r="A4" s="17">
        <v>3</v>
      </c>
      <c r="B4" s="80"/>
      <c r="C4" s="15" t="s">
        <v>208</v>
      </c>
      <c r="D4" s="15" t="s">
        <v>353</v>
      </c>
      <c r="E4" s="17" t="s">
        <v>354</v>
      </c>
      <c r="F4" s="17" t="s">
        <v>354</v>
      </c>
      <c r="G4" s="17" t="s">
        <v>354</v>
      </c>
      <c r="H4" s="17" t="s">
        <v>352</v>
      </c>
      <c r="I4" s="17" t="s">
        <v>354</v>
      </c>
      <c r="J4" s="17" t="s">
        <v>354</v>
      </c>
      <c r="K4" s="17" t="s">
        <v>354</v>
      </c>
      <c r="L4" s="17" t="s">
        <v>354</v>
      </c>
      <c r="M4" s="17" t="s">
        <v>354</v>
      </c>
      <c r="N4" s="17" t="s">
        <v>352</v>
      </c>
      <c r="O4" s="17" t="s">
        <v>352</v>
      </c>
      <c r="P4" s="17" t="s">
        <v>354</v>
      </c>
      <c r="Q4" s="17" t="s">
        <v>352</v>
      </c>
      <c r="R4" s="17" t="s">
        <v>354</v>
      </c>
      <c r="S4" s="17" t="s">
        <v>354</v>
      </c>
      <c r="T4" s="17" t="s">
        <v>354</v>
      </c>
      <c r="U4" s="17" t="s">
        <v>354</v>
      </c>
      <c r="V4" s="17" t="s">
        <v>354</v>
      </c>
      <c r="W4" s="17" t="s">
        <v>354</v>
      </c>
      <c r="X4" s="17" t="s">
        <v>354</v>
      </c>
      <c r="Y4" s="17" t="s">
        <v>352</v>
      </c>
      <c r="Z4" s="17" t="s">
        <v>352</v>
      </c>
      <c r="AA4" s="17" t="s">
        <v>354</v>
      </c>
      <c r="AB4" s="17" t="s">
        <v>354</v>
      </c>
      <c r="AC4" s="17" t="s">
        <v>354</v>
      </c>
      <c r="AD4" s="17" t="s">
        <v>354</v>
      </c>
      <c r="AE4" s="17" t="s">
        <v>352</v>
      </c>
      <c r="AF4" s="17" t="s">
        <v>352</v>
      </c>
      <c r="AG4" s="17" t="s">
        <v>354</v>
      </c>
      <c r="DC4" s="70"/>
      <c r="IR4" s="13"/>
      <c r="IW4" s="13"/>
      <c r="JA4" s="13"/>
      <c r="JF4" s="17">
        <f>COUNTIF(E4:DK4,"Present")+(COUNTIF(E4:DK4,"Half Day")*0.5)</f>
        <v>21</v>
      </c>
      <c r="JG4" s="17">
        <f>COUNTIF($E4:$DK4,"Absent")+(COUNTIF($E4:$DK4,"P(Half Day)")*0.5)</f>
        <v>8</v>
      </c>
    </row>
    <row r="5" spans="1:269" s="17" customFormat="1">
      <c r="A5" s="17">
        <v>4</v>
      </c>
      <c r="B5" s="80"/>
      <c r="C5" s="15" t="s">
        <v>219</v>
      </c>
      <c r="D5" s="15" t="s">
        <v>353</v>
      </c>
      <c r="E5" s="17" t="s">
        <v>354</v>
      </c>
      <c r="F5" s="17" t="s">
        <v>354</v>
      </c>
      <c r="G5" s="17" t="s">
        <v>354</v>
      </c>
      <c r="H5" s="17" t="s">
        <v>354</v>
      </c>
      <c r="I5" s="17" t="s">
        <v>354</v>
      </c>
      <c r="J5" s="17" t="s">
        <v>354</v>
      </c>
      <c r="K5" s="17" t="s">
        <v>354</v>
      </c>
      <c r="L5" s="17" t="s">
        <v>354</v>
      </c>
      <c r="M5" s="17" t="s">
        <v>354</v>
      </c>
      <c r="N5" s="17" t="s">
        <v>354</v>
      </c>
      <c r="O5" s="17" t="s">
        <v>352</v>
      </c>
      <c r="P5" s="17" t="s">
        <v>354</v>
      </c>
      <c r="Q5" s="17" t="s">
        <v>354</v>
      </c>
      <c r="R5" s="17" t="s">
        <v>354</v>
      </c>
      <c r="S5" s="17" t="s">
        <v>354</v>
      </c>
      <c r="T5" s="17" t="s">
        <v>354</v>
      </c>
      <c r="U5" s="17" t="s">
        <v>354</v>
      </c>
      <c r="V5" s="17" t="s">
        <v>354</v>
      </c>
      <c r="W5" s="17" t="s">
        <v>354</v>
      </c>
      <c r="X5" s="17" t="s">
        <v>354</v>
      </c>
      <c r="Y5" s="17" t="s">
        <v>354</v>
      </c>
      <c r="Z5" s="17" t="s">
        <v>354</v>
      </c>
      <c r="AA5" s="17" t="s">
        <v>354</v>
      </c>
      <c r="AB5" s="17" t="s">
        <v>354</v>
      </c>
      <c r="AC5" s="17" t="s">
        <v>354</v>
      </c>
      <c r="AD5" s="17" t="s">
        <v>354</v>
      </c>
      <c r="AE5" s="17" t="s">
        <v>354</v>
      </c>
      <c r="AF5" s="17" t="s">
        <v>354</v>
      </c>
      <c r="AG5" s="17" t="s">
        <v>354</v>
      </c>
      <c r="DC5" s="70"/>
      <c r="IR5" s="13"/>
      <c r="IW5" s="13"/>
      <c r="JA5" s="13"/>
      <c r="JF5" s="17">
        <f>COUNTIF(E5:DK5,"Present")+(COUNTIF(E5:DK5,"Half Day")*0.5)</f>
        <v>28</v>
      </c>
      <c r="JG5" s="17">
        <f>COUNTIF($E5:$DK5,"Absent")+(COUNTIF($E5:$DK5,"P(Half Day)")*0.5)</f>
        <v>1</v>
      </c>
    </row>
    <row r="6" spans="1:269" s="17" customFormat="1">
      <c r="A6" s="17">
        <v>5</v>
      </c>
      <c r="B6" s="80"/>
      <c r="C6" s="18" t="s">
        <v>217</v>
      </c>
      <c r="D6" s="15" t="s">
        <v>353</v>
      </c>
      <c r="E6" s="19" t="s">
        <v>352</v>
      </c>
      <c r="F6" s="17" t="s">
        <v>354</v>
      </c>
      <c r="G6" s="17" t="s">
        <v>352</v>
      </c>
      <c r="H6" s="17" t="s">
        <v>352</v>
      </c>
      <c r="I6" s="17" t="s">
        <v>354</v>
      </c>
      <c r="J6" s="17" t="s">
        <v>354</v>
      </c>
      <c r="K6" s="17" t="s">
        <v>354</v>
      </c>
      <c r="L6" s="17" t="s">
        <v>352</v>
      </c>
      <c r="M6" s="17" t="s">
        <v>354</v>
      </c>
      <c r="N6" s="17" t="s">
        <v>354</v>
      </c>
      <c r="O6" s="17" t="s">
        <v>352</v>
      </c>
      <c r="P6" s="17" t="s">
        <v>352</v>
      </c>
      <c r="Q6" s="17" t="s">
        <v>354</v>
      </c>
      <c r="R6" s="17" t="s">
        <v>354</v>
      </c>
      <c r="S6" s="17" t="s">
        <v>352</v>
      </c>
      <c r="T6" s="17" t="s">
        <v>354</v>
      </c>
      <c r="U6" s="17" t="s">
        <v>354</v>
      </c>
      <c r="V6" s="17" t="s">
        <v>354</v>
      </c>
      <c r="W6" s="17" t="s">
        <v>354</v>
      </c>
      <c r="X6" s="17" t="s">
        <v>352</v>
      </c>
      <c r="Y6" s="17" t="s">
        <v>352</v>
      </c>
      <c r="Z6" s="17" t="s">
        <v>354</v>
      </c>
      <c r="AA6" s="17" t="s">
        <v>354</v>
      </c>
      <c r="AB6" s="17" t="s">
        <v>354</v>
      </c>
      <c r="AC6" s="17" t="s">
        <v>354</v>
      </c>
      <c r="AD6" s="17" t="s">
        <v>354</v>
      </c>
      <c r="AE6" s="17" t="s">
        <v>352</v>
      </c>
      <c r="AF6" s="17" t="s">
        <v>354</v>
      </c>
      <c r="AG6" s="17" t="s">
        <v>354</v>
      </c>
      <c r="DC6" s="70"/>
      <c r="IR6" s="13"/>
      <c r="IW6" s="13"/>
      <c r="JA6" s="13"/>
      <c r="JF6" s="17">
        <f>COUNTIF(E6:DK6,"Present")+(COUNTIF(E6:DK6,"Half Day")*0.5)</f>
        <v>19</v>
      </c>
      <c r="JG6" s="17">
        <f>COUNTIF($E6:$DK6,"Absent")+(COUNTIF($E6:$DK6,"P(Half Day)")*0.5)</f>
        <v>10</v>
      </c>
    </row>
    <row r="7" spans="1:269" s="17" customFormat="1">
      <c r="A7" s="17">
        <v>6</v>
      </c>
      <c r="B7" s="80"/>
      <c r="C7" s="107" t="s">
        <v>355</v>
      </c>
      <c r="D7" s="15" t="s">
        <v>353</v>
      </c>
      <c r="E7" s="17" t="s">
        <v>352</v>
      </c>
      <c r="F7" s="17" t="s">
        <v>354</v>
      </c>
      <c r="G7" s="17" t="s">
        <v>352</v>
      </c>
      <c r="H7" s="17" t="s">
        <v>352</v>
      </c>
      <c r="I7" s="17" t="s">
        <v>354</v>
      </c>
      <c r="J7" s="17" t="s">
        <v>354</v>
      </c>
      <c r="K7" s="17" t="s">
        <v>354</v>
      </c>
      <c r="L7" s="17" t="s">
        <v>352</v>
      </c>
      <c r="M7" s="17" t="s">
        <v>352</v>
      </c>
      <c r="N7" s="17" t="s">
        <v>352</v>
      </c>
      <c r="O7" s="17" t="s">
        <v>352</v>
      </c>
      <c r="P7" s="17" t="s">
        <v>352</v>
      </c>
      <c r="Q7" s="17" t="s">
        <v>354</v>
      </c>
      <c r="R7" s="17" t="s">
        <v>354</v>
      </c>
      <c r="S7" s="17" t="s">
        <v>354</v>
      </c>
      <c r="T7" s="17" t="s">
        <v>354</v>
      </c>
      <c r="U7" s="17" t="s">
        <v>354</v>
      </c>
      <c r="V7" s="17" t="s">
        <v>352</v>
      </c>
      <c r="W7" s="17" t="s">
        <v>354</v>
      </c>
      <c r="X7" s="17" t="s">
        <v>352</v>
      </c>
      <c r="Y7" s="17" t="s">
        <v>352</v>
      </c>
      <c r="Z7" s="17" t="s">
        <v>352</v>
      </c>
      <c r="AA7" s="17" t="s">
        <v>352</v>
      </c>
      <c r="AB7" s="17" t="s">
        <v>354</v>
      </c>
      <c r="AC7" s="17" t="s">
        <v>352</v>
      </c>
      <c r="AD7" s="17" t="s">
        <v>354</v>
      </c>
      <c r="AE7" s="17" t="s">
        <v>354</v>
      </c>
      <c r="AF7" s="17" t="s">
        <v>356</v>
      </c>
      <c r="AG7" s="17" t="s">
        <v>356</v>
      </c>
      <c r="DC7" s="70"/>
      <c r="IR7" s="13"/>
      <c r="IW7" s="13"/>
      <c r="JA7" s="13"/>
      <c r="JF7" s="17">
        <f>COUNTIF(E7:DK7,"Present")+(COUNTIF(E7:DK7,"Half Day")*0.5)</f>
        <v>14</v>
      </c>
      <c r="JG7" s="17">
        <f>COUNTIF($E7:$DK7,"Absent")+(COUNTIF($E7:$DK7,"P(Half Day)")*0.5)</f>
        <v>14</v>
      </c>
    </row>
    <row r="8" spans="1:269" s="17" customFormat="1">
      <c r="A8" s="17">
        <v>7</v>
      </c>
      <c r="B8" s="80"/>
      <c r="C8" s="107" t="s">
        <v>357</v>
      </c>
      <c r="D8" s="17" t="s">
        <v>358</v>
      </c>
      <c r="E8" s="17" t="s">
        <v>354</v>
      </c>
      <c r="F8" s="17" t="s">
        <v>354</v>
      </c>
      <c r="G8" s="17" t="s">
        <v>354</v>
      </c>
      <c r="H8" s="17" t="s">
        <v>354</v>
      </c>
      <c r="I8" s="17" t="s">
        <v>354</v>
      </c>
      <c r="J8" s="17" t="s">
        <v>354</v>
      </c>
      <c r="K8" s="17" t="s">
        <v>354</v>
      </c>
      <c r="L8" s="17" t="s">
        <v>354</v>
      </c>
      <c r="M8" s="17" t="s">
        <v>354</v>
      </c>
      <c r="N8" s="17" t="s">
        <v>354</v>
      </c>
      <c r="O8" s="17" t="s">
        <v>354</v>
      </c>
      <c r="P8" s="17" t="s">
        <v>354</v>
      </c>
      <c r="Q8" s="17" t="s">
        <v>354</v>
      </c>
      <c r="R8" s="17" t="s">
        <v>354</v>
      </c>
      <c r="S8" s="17" t="s">
        <v>354</v>
      </c>
      <c r="T8" s="17" t="s">
        <v>354</v>
      </c>
      <c r="U8" s="17" t="s">
        <v>354</v>
      </c>
      <c r="V8" s="17" t="s">
        <v>354</v>
      </c>
      <c r="W8" s="17" t="s">
        <v>354</v>
      </c>
      <c r="X8" s="17" t="s">
        <v>354</v>
      </c>
      <c r="Y8" s="17" t="s">
        <v>352</v>
      </c>
      <c r="Z8" s="17" t="s">
        <v>354</v>
      </c>
      <c r="AA8" s="17" t="s">
        <v>354</v>
      </c>
      <c r="AB8" s="17" t="s">
        <v>354</v>
      </c>
      <c r="AC8" s="17" t="s">
        <v>354</v>
      </c>
      <c r="AD8" s="17" t="s">
        <v>354</v>
      </c>
      <c r="AE8" s="17" t="s">
        <v>352</v>
      </c>
      <c r="AF8" s="17" t="s">
        <v>354</v>
      </c>
      <c r="AG8" s="17" t="s">
        <v>354</v>
      </c>
      <c r="DC8" s="70"/>
      <c r="IR8" s="13"/>
      <c r="IW8" s="13"/>
      <c r="JA8" s="13"/>
      <c r="JF8" s="17">
        <f>COUNTIF(E8:DK8,"Present")+(COUNTIF(E8:DK8,"Half Day")*0.5)</f>
        <v>27</v>
      </c>
      <c r="JG8" s="17">
        <f>COUNTIF($E8:$DK8,"Absent")+(COUNTIF($E8:$DK8,"P(Half Day)")*0.5)</f>
        <v>2</v>
      </c>
    </row>
    <row r="9" spans="1:269" s="17" customFormat="1">
      <c r="A9" s="17">
        <v>8</v>
      </c>
      <c r="B9" s="80"/>
      <c r="C9" s="107" t="s">
        <v>359</v>
      </c>
      <c r="D9" s="17" t="s">
        <v>358</v>
      </c>
      <c r="E9" s="17" t="s">
        <v>354</v>
      </c>
      <c r="F9" s="17" t="s">
        <v>354</v>
      </c>
      <c r="G9" s="17" t="s">
        <v>354</v>
      </c>
      <c r="H9" s="17" t="s">
        <v>354</v>
      </c>
      <c r="I9" s="17" t="s">
        <v>354</v>
      </c>
      <c r="J9" s="17" t="s">
        <v>354</v>
      </c>
      <c r="K9" s="17" t="s">
        <v>354</v>
      </c>
      <c r="L9" s="17" t="s">
        <v>354</v>
      </c>
      <c r="M9" s="17" t="s">
        <v>354</v>
      </c>
      <c r="N9" s="17" t="s">
        <v>354</v>
      </c>
      <c r="O9" s="17" t="s">
        <v>354</v>
      </c>
      <c r="P9" s="17" t="s">
        <v>354</v>
      </c>
      <c r="Q9" s="17" t="s">
        <v>354</v>
      </c>
      <c r="R9" s="17" t="s">
        <v>354</v>
      </c>
      <c r="S9" s="17" t="s">
        <v>354</v>
      </c>
      <c r="T9" s="17" t="s">
        <v>354</v>
      </c>
      <c r="U9" s="17" t="s">
        <v>354</v>
      </c>
      <c r="V9" s="17" t="s">
        <v>354</v>
      </c>
      <c r="W9" s="17" t="s">
        <v>354</v>
      </c>
      <c r="X9" s="17" t="s">
        <v>354</v>
      </c>
      <c r="Y9" s="17" t="s">
        <v>352</v>
      </c>
      <c r="Z9" s="17" t="s">
        <v>354</v>
      </c>
      <c r="AA9" s="17" t="s">
        <v>354</v>
      </c>
      <c r="AB9" s="17" t="s">
        <v>354</v>
      </c>
      <c r="AC9" s="17" t="s">
        <v>354</v>
      </c>
      <c r="AD9" s="17" t="s">
        <v>354</v>
      </c>
      <c r="AE9" s="17" t="s">
        <v>352</v>
      </c>
      <c r="AF9" s="17" t="s">
        <v>354</v>
      </c>
      <c r="AG9" s="17" t="s">
        <v>354</v>
      </c>
      <c r="DC9" s="70"/>
      <c r="IR9" s="13"/>
      <c r="IW9" s="13"/>
      <c r="JA9" s="13"/>
      <c r="JF9" s="17">
        <f>COUNTIF(E9:DK9,"Present")+(COUNTIF(E9:DK9,"Half Day")*0.5)</f>
        <v>27</v>
      </c>
      <c r="JG9" s="17">
        <f>COUNTIF($E9:$DK9,"Absent")+(COUNTIF($E9:$DK9,"P(Half Day)")*0.5)</f>
        <v>2</v>
      </c>
    </row>
    <row r="10" spans="1:269" s="37" customFormat="1">
      <c r="A10" s="37">
        <v>9</v>
      </c>
      <c r="B10" s="81"/>
      <c r="C10" s="37" t="s">
        <v>360</v>
      </c>
      <c r="D10" s="37" t="s">
        <v>353</v>
      </c>
      <c r="DC10" s="71"/>
      <c r="JF10" s="17">
        <f>COUNTIF(E10:DK10,"Present")+(COUNTIF(E10:DK10,"Half Day")*0.5)</f>
        <v>0</v>
      </c>
      <c r="JG10" s="17">
        <f>COUNTIF($E10:$DK10,"Absent")+(COUNTIF($E10:$DK10,"P(Half Day)")*0.5)</f>
        <v>0</v>
      </c>
    </row>
    <row r="11" spans="1:269">
      <c r="A11" s="7">
        <v>10</v>
      </c>
      <c r="B11" s="64" t="s">
        <v>23</v>
      </c>
      <c r="C11" s="5" t="s">
        <v>20</v>
      </c>
      <c r="D11" s="10" t="s">
        <v>13</v>
      </c>
      <c r="E11" s="7" t="s">
        <v>352</v>
      </c>
      <c r="F11" s="7" t="s">
        <v>352</v>
      </c>
      <c r="G11" s="7" t="s">
        <v>352</v>
      </c>
      <c r="H11" s="7" t="s">
        <v>352</v>
      </c>
      <c r="I11" s="7" t="s">
        <v>352</v>
      </c>
      <c r="J11" s="7" t="s">
        <v>352</v>
      </c>
      <c r="K11" s="7" t="s">
        <v>352</v>
      </c>
      <c r="L11" s="7" t="s">
        <v>352</v>
      </c>
      <c r="M11" s="7" t="s">
        <v>352</v>
      </c>
      <c r="N11" s="7" t="s">
        <v>352</v>
      </c>
      <c r="O11" s="7" t="s">
        <v>352</v>
      </c>
      <c r="P11" s="7" t="s">
        <v>352</v>
      </c>
      <c r="Q11" s="7" t="s">
        <v>352</v>
      </c>
      <c r="R11" s="7" t="s">
        <v>352</v>
      </c>
      <c r="S11" s="7" t="s">
        <v>352</v>
      </c>
      <c r="T11" s="7" t="s">
        <v>352</v>
      </c>
      <c r="U11" s="7" t="s">
        <v>352</v>
      </c>
      <c r="V11" s="7" t="s">
        <v>352</v>
      </c>
      <c r="W11" s="7" t="s">
        <v>352</v>
      </c>
      <c r="X11" s="7" t="s">
        <v>352</v>
      </c>
      <c r="Y11" s="7" t="s">
        <v>352</v>
      </c>
      <c r="Z11" s="7" t="s">
        <v>352</v>
      </c>
      <c r="AA11" s="7" t="s">
        <v>352</v>
      </c>
      <c r="AB11" s="7" t="s">
        <v>352</v>
      </c>
      <c r="AC11" s="7" t="s">
        <v>352</v>
      </c>
      <c r="AD11" s="7" t="s">
        <v>352</v>
      </c>
      <c r="AE11" s="7" t="s">
        <v>352</v>
      </c>
      <c r="AF11" s="7" t="s">
        <v>352</v>
      </c>
      <c r="AG11" s="7" t="s">
        <v>352</v>
      </c>
      <c r="AH11" s="7" t="s">
        <v>352</v>
      </c>
      <c r="AI11" s="7" t="s">
        <v>352</v>
      </c>
      <c r="AJ11" s="7" t="s">
        <v>352</v>
      </c>
      <c r="DC11" s="72"/>
      <c r="IJ11" s="17"/>
      <c r="IK11" s="17"/>
      <c r="IL11" s="17"/>
      <c r="IM11" s="17"/>
      <c r="IN11" s="17"/>
      <c r="IO11" s="17"/>
      <c r="IP11" s="17"/>
      <c r="IQ11" s="17"/>
      <c r="IR11" s="13"/>
      <c r="IS11" s="17"/>
      <c r="IT11" s="17"/>
      <c r="IU11" s="17"/>
      <c r="IV11" s="17"/>
      <c r="IW11" s="13"/>
      <c r="IX11" s="17"/>
      <c r="IY11" s="17"/>
      <c r="IZ11" s="17"/>
      <c r="JA11" s="13"/>
      <c r="JB11" s="17"/>
      <c r="JC11" s="17"/>
      <c r="JD11" s="17"/>
      <c r="JF11" s="17">
        <f>COUNTIF(E11:DK11,"Present")+(COUNTIF(E11:DK11,"Half Day")*0.5)</f>
        <v>0</v>
      </c>
      <c r="JG11" s="17">
        <f>COUNTIF($E11:$DK11,"Absent")+(COUNTIF($E11:$DK11,"P(Half Day)")*0.5)</f>
        <v>32</v>
      </c>
    </row>
    <row r="12" spans="1:269">
      <c r="A12" s="7">
        <v>11</v>
      </c>
      <c r="B12" s="68"/>
      <c r="C12" s="10" t="s">
        <v>42</v>
      </c>
      <c r="D12" s="10" t="s">
        <v>13</v>
      </c>
      <c r="E12" s="7" t="s">
        <v>354</v>
      </c>
      <c r="F12" s="7" t="s">
        <v>354</v>
      </c>
      <c r="G12" s="7" t="s">
        <v>352</v>
      </c>
      <c r="H12" s="7" t="s">
        <v>352</v>
      </c>
      <c r="I12" s="7" t="s">
        <v>352</v>
      </c>
      <c r="J12" s="7" t="s">
        <v>354</v>
      </c>
      <c r="K12" s="7" t="s">
        <v>354</v>
      </c>
      <c r="L12" s="7" t="s">
        <v>354</v>
      </c>
      <c r="M12" s="7" t="s">
        <v>354</v>
      </c>
      <c r="N12" s="7" t="s">
        <v>354</v>
      </c>
      <c r="O12" s="7" t="s">
        <v>352</v>
      </c>
      <c r="P12" s="7" t="s">
        <v>352</v>
      </c>
      <c r="Q12" s="17" t="s">
        <v>354</v>
      </c>
      <c r="R12" s="17" t="s">
        <v>354</v>
      </c>
      <c r="S12" s="7" t="s">
        <v>354</v>
      </c>
      <c r="T12" s="7" t="s">
        <v>352</v>
      </c>
      <c r="U12" s="7" t="s">
        <v>354</v>
      </c>
      <c r="V12" s="7" t="s">
        <v>354</v>
      </c>
      <c r="W12" s="7" t="s">
        <v>354</v>
      </c>
      <c r="X12" s="7" t="s">
        <v>354</v>
      </c>
      <c r="Y12" s="7" t="s">
        <v>352</v>
      </c>
      <c r="Z12" s="7" t="s">
        <v>352</v>
      </c>
      <c r="AA12" s="7" t="s">
        <v>354</v>
      </c>
      <c r="AB12" s="17" t="s">
        <v>354</v>
      </c>
      <c r="AC12" s="17" t="s">
        <v>354</v>
      </c>
      <c r="AD12" s="17" t="s">
        <v>354</v>
      </c>
      <c r="AE12" s="17" t="s">
        <v>354</v>
      </c>
      <c r="AF12" s="17" t="s">
        <v>354</v>
      </c>
      <c r="AG12" s="17" t="s">
        <v>354</v>
      </c>
      <c r="AH12" s="17" t="s">
        <v>354</v>
      </c>
      <c r="AI12" s="7" t="s">
        <v>352</v>
      </c>
      <c r="AJ12" s="17" t="s">
        <v>354</v>
      </c>
      <c r="DC12" s="72"/>
      <c r="IJ12" s="17"/>
      <c r="IK12" s="17"/>
      <c r="IL12" s="17"/>
      <c r="IM12" s="17"/>
      <c r="IN12" s="17"/>
      <c r="IO12" s="17"/>
      <c r="IP12" s="17"/>
      <c r="IQ12" s="17"/>
      <c r="IR12" s="13"/>
      <c r="IS12" s="17"/>
      <c r="IT12" s="17"/>
      <c r="IU12" s="17"/>
      <c r="IV12" s="17"/>
      <c r="IW12" s="13"/>
      <c r="IX12" s="17"/>
      <c r="IY12" s="17"/>
      <c r="IZ12" s="17"/>
      <c r="JA12" s="13"/>
      <c r="JB12" s="17"/>
      <c r="JC12" s="17"/>
      <c r="JD12" s="17"/>
      <c r="JF12" s="17">
        <f>COUNTIF(E12:DK12,"Present")+(COUNTIF(E12:DK12,"Half Day")*0.5)</f>
        <v>23</v>
      </c>
      <c r="JG12" s="17">
        <f>COUNTIF($E12:$DK12,"Absent")+(COUNTIF($E12:$DK12,"P(Half Day)")*0.5)</f>
        <v>9</v>
      </c>
    </row>
    <row r="13" spans="1:269">
      <c r="A13" s="7">
        <v>12</v>
      </c>
      <c r="B13" s="68"/>
      <c r="C13" s="10" t="s">
        <v>361</v>
      </c>
      <c r="D13" s="10" t="s">
        <v>13</v>
      </c>
      <c r="E13" s="7" t="s">
        <v>354</v>
      </c>
      <c r="F13" s="7" t="s">
        <v>354</v>
      </c>
      <c r="G13" s="7" t="s">
        <v>352</v>
      </c>
      <c r="H13" s="7" t="s">
        <v>352</v>
      </c>
      <c r="I13" s="7" t="s">
        <v>354</v>
      </c>
      <c r="J13" s="7" t="s">
        <v>354</v>
      </c>
      <c r="K13" s="7" t="s">
        <v>354</v>
      </c>
      <c r="L13" s="7" t="s">
        <v>352</v>
      </c>
      <c r="M13" s="7" t="s">
        <v>352</v>
      </c>
      <c r="N13" s="7" t="s">
        <v>354</v>
      </c>
      <c r="O13" s="7" t="s">
        <v>352</v>
      </c>
      <c r="P13" s="17" t="s">
        <v>354</v>
      </c>
      <c r="Q13" s="17" t="s">
        <v>354</v>
      </c>
      <c r="R13" s="17" t="s">
        <v>354</v>
      </c>
      <c r="S13" s="7" t="s">
        <v>352</v>
      </c>
      <c r="T13" s="7" t="s">
        <v>352</v>
      </c>
      <c r="U13" s="7" t="s">
        <v>354</v>
      </c>
      <c r="V13" s="7" t="s">
        <v>354</v>
      </c>
      <c r="W13" s="7" t="s">
        <v>354</v>
      </c>
      <c r="X13" s="7" t="s">
        <v>352</v>
      </c>
      <c r="Y13" s="7" t="s">
        <v>352</v>
      </c>
      <c r="Z13" s="7" t="s">
        <v>352</v>
      </c>
      <c r="AA13" s="7" t="s">
        <v>354</v>
      </c>
      <c r="AB13" s="17" t="s">
        <v>354</v>
      </c>
      <c r="AC13" s="17" t="s">
        <v>354</v>
      </c>
      <c r="AD13" s="17" t="s">
        <v>354</v>
      </c>
      <c r="AE13" s="7" t="s">
        <v>352</v>
      </c>
      <c r="AF13" s="17" t="s">
        <v>354</v>
      </c>
      <c r="AG13" s="17" t="s">
        <v>354</v>
      </c>
      <c r="AH13" s="7" t="s">
        <v>352</v>
      </c>
      <c r="AI13" s="17" t="s">
        <v>354</v>
      </c>
      <c r="AJ13" s="17" t="s">
        <v>354</v>
      </c>
      <c r="DC13" s="72"/>
      <c r="IJ13" s="17"/>
      <c r="IK13" s="17"/>
      <c r="IL13" s="17"/>
      <c r="IM13" s="17"/>
      <c r="IN13" s="17"/>
      <c r="IO13" s="17"/>
      <c r="IP13" s="17"/>
      <c r="IQ13" s="17"/>
      <c r="IR13" s="13"/>
      <c r="IS13" s="17"/>
      <c r="IT13" s="17"/>
      <c r="IU13" s="17"/>
      <c r="IV13" s="17"/>
      <c r="IW13" s="13"/>
      <c r="IX13" s="17"/>
      <c r="IY13" s="17"/>
      <c r="IZ13" s="17"/>
      <c r="JA13" s="13"/>
      <c r="JB13" s="17"/>
      <c r="JC13" s="17"/>
      <c r="JD13" s="17"/>
      <c r="JF13" s="17">
        <f>COUNTIF(E13:DK13,"Present")+(COUNTIF(E13:DK13,"Half Day")*0.5)</f>
        <v>20</v>
      </c>
      <c r="JG13" s="17">
        <f>COUNTIF($E13:$DK13,"Absent")+(COUNTIF($E13:$DK13,"P(Half Day)")*0.5)</f>
        <v>12</v>
      </c>
    </row>
    <row r="14" spans="1:269">
      <c r="A14" s="7">
        <v>13</v>
      </c>
      <c r="B14" s="68"/>
      <c r="C14" s="10" t="s">
        <v>47</v>
      </c>
      <c r="D14" s="10" t="s">
        <v>13</v>
      </c>
      <c r="E14" s="7" t="s">
        <v>354</v>
      </c>
      <c r="F14" s="7" t="s">
        <v>354</v>
      </c>
      <c r="G14" s="7" t="s">
        <v>354</v>
      </c>
      <c r="H14" s="7" t="s">
        <v>354</v>
      </c>
      <c r="I14" s="7" t="s">
        <v>354</v>
      </c>
      <c r="J14" s="7" t="s">
        <v>354</v>
      </c>
      <c r="K14" s="7" t="s">
        <v>354</v>
      </c>
      <c r="L14" s="7" t="s">
        <v>354</v>
      </c>
      <c r="M14" s="7" t="s">
        <v>354</v>
      </c>
      <c r="N14" s="7" t="s">
        <v>354</v>
      </c>
      <c r="O14" s="7" t="s">
        <v>354</v>
      </c>
      <c r="P14" s="17" t="s">
        <v>354</v>
      </c>
      <c r="Q14" s="17" t="s">
        <v>354</v>
      </c>
      <c r="R14" s="17" t="s">
        <v>354</v>
      </c>
      <c r="S14" s="7" t="s">
        <v>354</v>
      </c>
      <c r="T14" s="7" t="s">
        <v>354</v>
      </c>
      <c r="U14" s="7" t="s">
        <v>354</v>
      </c>
      <c r="V14" s="7" t="s">
        <v>354</v>
      </c>
      <c r="W14" s="7" t="s">
        <v>354</v>
      </c>
      <c r="X14" s="7" t="s">
        <v>354</v>
      </c>
      <c r="Y14" s="7" t="s">
        <v>354</v>
      </c>
      <c r="Z14" s="7" t="s">
        <v>354</v>
      </c>
      <c r="AA14" s="7" t="s">
        <v>354</v>
      </c>
      <c r="AB14" s="17" t="s">
        <v>354</v>
      </c>
      <c r="AC14" s="17" t="s">
        <v>354</v>
      </c>
      <c r="AD14" s="17" t="s">
        <v>354</v>
      </c>
      <c r="AE14" s="17" t="s">
        <v>354</v>
      </c>
      <c r="AF14" s="17" t="s">
        <v>354</v>
      </c>
      <c r="AG14" s="17" t="s">
        <v>354</v>
      </c>
      <c r="AH14" s="17" t="s">
        <v>354</v>
      </c>
      <c r="AI14" s="17" t="s">
        <v>354</v>
      </c>
      <c r="AJ14" s="17" t="s">
        <v>354</v>
      </c>
      <c r="DC14" s="72"/>
      <c r="IJ14" s="17"/>
      <c r="IK14" s="17"/>
      <c r="IL14" s="17"/>
      <c r="IM14" s="17"/>
      <c r="IN14" s="17"/>
      <c r="IO14" s="17"/>
      <c r="IP14" s="17"/>
      <c r="IQ14" s="17"/>
      <c r="IR14" s="13"/>
      <c r="IS14" s="17"/>
      <c r="IT14" s="17"/>
      <c r="IU14" s="17"/>
      <c r="IV14" s="17"/>
      <c r="IW14" s="13"/>
      <c r="IX14" s="17"/>
      <c r="IY14" s="17"/>
      <c r="IZ14" s="17"/>
      <c r="JA14" s="13"/>
      <c r="JB14" s="17"/>
      <c r="JC14" s="17"/>
      <c r="JD14" s="17"/>
      <c r="JF14" s="17">
        <f>COUNTIF(E14:DK14,"Present")+(COUNTIF(E14:DK14,"Half Day")*0.5)</f>
        <v>32</v>
      </c>
      <c r="JG14" s="17">
        <f>COUNTIF($E14:$DK14,"Absent")+(COUNTIF($E14:$DK14,"P(Half Day)")*0.5)</f>
        <v>0</v>
      </c>
    </row>
    <row r="15" spans="1:269">
      <c r="A15" s="7">
        <v>14</v>
      </c>
      <c r="B15" s="68"/>
      <c r="C15" s="10" t="s">
        <v>52</v>
      </c>
      <c r="D15" s="10" t="s">
        <v>13</v>
      </c>
      <c r="E15" s="7" t="s">
        <v>354</v>
      </c>
      <c r="F15" s="7" t="s">
        <v>354</v>
      </c>
      <c r="G15" s="7" t="s">
        <v>354</v>
      </c>
      <c r="H15" s="7" t="s">
        <v>354</v>
      </c>
      <c r="I15" s="7" t="s">
        <v>354</v>
      </c>
      <c r="J15" s="7" t="s">
        <v>354</v>
      </c>
      <c r="K15" s="7" t="s">
        <v>354</v>
      </c>
      <c r="L15" s="7" t="s">
        <v>354</v>
      </c>
      <c r="M15" s="7" t="s">
        <v>354</v>
      </c>
      <c r="N15" s="7" t="s">
        <v>354</v>
      </c>
      <c r="O15" s="7" t="s">
        <v>352</v>
      </c>
      <c r="P15" s="17" t="s">
        <v>354</v>
      </c>
      <c r="Q15" s="17" t="s">
        <v>354</v>
      </c>
      <c r="R15" s="17" t="s">
        <v>354</v>
      </c>
      <c r="S15" s="7" t="s">
        <v>354</v>
      </c>
      <c r="T15" s="7" t="s">
        <v>354</v>
      </c>
      <c r="U15" s="7" t="s">
        <v>354</v>
      </c>
      <c r="V15" s="7" t="s">
        <v>354</v>
      </c>
      <c r="W15" s="7" t="s">
        <v>354</v>
      </c>
      <c r="X15" s="7" t="s">
        <v>354</v>
      </c>
      <c r="Y15" s="7" t="s">
        <v>354</v>
      </c>
      <c r="Z15" s="7" t="s">
        <v>354</v>
      </c>
      <c r="AA15" s="7" t="s">
        <v>354</v>
      </c>
      <c r="AB15" s="17" t="s">
        <v>354</v>
      </c>
      <c r="AC15" s="17" t="s">
        <v>354</v>
      </c>
      <c r="AD15" s="17" t="s">
        <v>354</v>
      </c>
      <c r="AE15" s="17" t="s">
        <v>354</v>
      </c>
      <c r="AF15" s="17" t="s">
        <v>354</v>
      </c>
      <c r="AG15" s="17" t="s">
        <v>354</v>
      </c>
      <c r="AH15" s="17" t="s">
        <v>354</v>
      </c>
      <c r="AI15" s="17" t="s">
        <v>354</v>
      </c>
      <c r="AJ15" s="17" t="s">
        <v>354</v>
      </c>
      <c r="DC15" s="72"/>
      <c r="IJ15" s="17"/>
      <c r="IK15" s="17"/>
      <c r="IL15" s="17"/>
      <c r="IM15" s="17"/>
      <c r="IN15" s="17"/>
      <c r="IO15" s="17"/>
      <c r="IP15" s="17"/>
      <c r="IQ15" s="17"/>
      <c r="IR15" s="13"/>
      <c r="IS15" s="17"/>
      <c r="IT15" s="17"/>
      <c r="IU15" s="17"/>
      <c r="IV15" s="17"/>
      <c r="IW15" s="13"/>
      <c r="IX15" s="17"/>
      <c r="IY15" s="17"/>
      <c r="IZ15" s="17"/>
      <c r="JA15" s="13"/>
      <c r="JB15" s="17"/>
      <c r="JC15" s="17"/>
      <c r="JD15" s="17"/>
      <c r="JF15" s="17">
        <f>COUNTIF(E15:DK15,"Present")+(COUNTIF(E15:DK15,"Half Day")*0.5)</f>
        <v>31</v>
      </c>
      <c r="JG15" s="17">
        <f>COUNTIF($E15:$DK15,"Absent")+(COUNTIF($E15:$DK15,"P(Half Day)")*0.5)</f>
        <v>1</v>
      </c>
    </row>
    <row r="16" spans="1:269">
      <c r="A16" s="7">
        <v>15</v>
      </c>
      <c r="B16" s="68"/>
      <c r="C16" s="5" t="s">
        <v>96</v>
      </c>
      <c r="D16" s="10" t="s">
        <v>362</v>
      </c>
      <c r="E16" s="7" t="s">
        <v>352</v>
      </c>
      <c r="F16" s="7" t="s">
        <v>354</v>
      </c>
      <c r="G16" s="7" t="s">
        <v>352</v>
      </c>
      <c r="H16" s="7" t="s">
        <v>354</v>
      </c>
      <c r="I16" s="7" t="s">
        <v>354</v>
      </c>
      <c r="J16" s="7" t="s">
        <v>354</v>
      </c>
      <c r="K16" s="7" t="s">
        <v>354</v>
      </c>
      <c r="L16" s="7" t="s">
        <v>354</v>
      </c>
      <c r="M16" s="7" t="s">
        <v>354</v>
      </c>
      <c r="N16" s="7" t="s">
        <v>354</v>
      </c>
      <c r="O16" s="7" t="s">
        <v>352</v>
      </c>
      <c r="P16" s="17" t="s">
        <v>354</v>
      </c>
      <c r="Q16" s="17" t="s">
        <v>354</v>
      </c>
      <c r="R16" s="17" t="s">
        <v>354</v>
      </c>
      <c r="S16" s="7" t="s">
        <v>352</v>
      </c>
      <c r="T16" s="7" t="s">
        <v>352</v>
      </c>
      <c r="U16" s="7" t="s">
        <v>354</v>
      </c>
      <c r="V16" s="7" t="s">
        <v>354</v>
      </c>
      <c r="W16" s="7" t="s">
        <v>354</v>
      </c>
      <c r="X16" s="7" t="s">
        <v>354</v>
      </c>
      <c r="Y16" s="7" t="s">
        <v>354</v>
      </c>
      <c r="Z16" s="7" t="s">
        <v>354</v>
      </c>
      <c r="AA16" s="7" t="s">
        <v>354</v>
      </c>
      <c r="AB16" s="17" t="s">
        <v>354</v>
      </c>
      <c r="AC16" s="17" t="s">
        <v>354</v>
      </c>
      <c r="AD16" s="17" t="s">
        <v>354</v>
      </c>
      <c r="AE16" s="17" t="s">
        <v>354</v>
      </c>
      <c r="AF16" s="17" t="s">
        <v>354</v>
      </c>
      <c r="AG16" s="17" t="s">
        <v>354</v>
      </c>
      <c r="AH16" s="7" t="s">
        <v>352</v>
      </c>
      <c r="AI16" s="7" t="s">
        <v>352</v>
      </c>
      <c r="AJ16" s="17" t="s">
        <v>354</v>
      </c>
      <c r="DC16" s="72"/>
      <c r="IJ16" s="17"/>
      <c r="IK16" s="17"/>
      <c r="IL16" s="17"/>
      <c r="IM16" s="17"/>
      <c r="IN16" s="17"/>
      <c r="IO16" s="17"/>
      <c r="IP16" s="17"/>
      <c r="IQ16" s="17"/>
      <c r="IR16" s="13"/>
      <c r="IS16" s="17"/>
      <c r="IT16" s="17"/>
      <c r="IU16" s="17"/>
      <c r="IV16" s="17"/>
      <c r="IW16" s="13"/>
      <c r="IX16" s="17"/>
      <c r="IY16" s="17"/>
      <c r="IZ16" s="17"/>
      <c r="JA16" s="13"/>
      <c r="JB16" s="17"/>
      <c r="JC16" s="17"/>
      <c r="JD16" s="17"/>
      <c r="JF16" s="17">
        <f>COUNTIF(E16:DK16,"Present")+(COUNTIF(E16:DK16,"Half Day")*0.5)</f>
        <v>25</v>
      </c>
      <c r="JG16" s="17">
        <f>COUNTIF($E16:$DK16,"Absent")+(COUNTIF($E16:$DK16,"P(Half Day)")*0.5)</f>
        <v>7</v>
      </c>
    </row>
    <row r="17" spans="1:267">
      <c r="A17" s="7">
        <v>16</v>
      </c>
      <c r="B17" s="68"/>
      <c r="C17" s="5" t="s">
        <v>39</v>
      </c>
      <c r="D17" s="10" t="s">
        <v>13</v>
      </c>
      <c r="E17" s="7" t="s">
        <v>354</v>
      </c>
      <c r="F17" s="7" t="s">
        <v>354</v>
      </c>
      <c r="G17" s="7" t="s">
        <v>354</v>
      </c>
      <c r="H17" s="7" t="s">
        <v>354</v>
      </c>
      <c r="I17" s="7" t="s">
        <v>354</v>
      </c>
      <c r="J17" s="7" t="s">
        <v>354</v>
      </c>
      <c r="K17" s="7" t="s">
        <v>354</v>
      </c>
      <c r="L17" s="7" t="s">
        <v>354</v>
      </c>
      <c r="M17" s="7" t="s">
        <v>354</v>
      </c>
      <c r="N17" s="7" t="s">
        <v>354</v>
      </c>
      <c r="O17" s="7" t="s">
        <v>352</v>
      </c>
      <c r="P17" s="7" t="s">
        <v>352</v>
      </c>
      <c r="Q17" s="7" t="s">
        <v>352</v>
      </c>
      <c r="R17" s="17" t="s">
        <v>354</v>
      </c>
      <c r="S17" s="7" t="s">
        <v>354</v>
      </c>
      <c r="T17" s="7" t="s">
        <v>354</v>
      </c>
      <c r="U17" s="7" t="s">
        <v>354</v>
      </c>
      <c r="V17" s="7" t="s">
        <v>354</v>
      </c>
      <c r="W17" s="7" t="s">
        <v>354</v>
      </c>
      <c r="X17" s="7" t="s">
        <v>354</v>
      </c>
      <c r="Y17" s="7" t="s">
        <v>352</v>
      </c>
      <c r="Z17" s="7" t="s">
        <v>354</v>
      </c>
      <c r="AA17" s="7" t="s">
        <v>354</v>
      </c>
      <c r="AB17" s="17" t="s">
        <v>354</v>
      </c>
      <c r="AC17" s="17" t="s">
        <v>354</v>
      </c>
      <c r="AD17" s="7" t="s">
        <v>352</v>
      </c>
      <c r="AE17" s="17" t="s">
        <v>354</v>
      </c>
      <c r="AF17" s="17" t="s">
        <v>354</v>
      </c>
      <c r="AG17" s="17" t="s">
        <v>354</v>
      </c>
      <c r="AH17" s="7" t="s">
        <v>352</v>
      </c>
      <c r="AI17" s="17" t="s">
        <v>354</v>
      </c>
      <c r="AJ17" s="7" t="s">
        <v>352</v>
      </c>
      <c r="DC17" s="72"/>
      <c r="IJ17" s="17"/>
      <c r="IK17" s="17"/>
      <c r="IL17" s="17"/>
      <c r="IM17" s="17"/>
      <c r="IN17" s="17"/>
      <c r="IO17" s="17"/>
      <c r="IP17" s="17"/>
      <c r="IQ17" s="17"/>
      <c r="IR17" s="13"/>
      <c r="IS17" s="17"/>
      <c r="IT17" s="17"/>
      <c r="IU17" s="17"/>
      <c r="IV17" s="17"/>
      <c r="IW17" s="13"/>
      <c r="IX17" s="17"/>
      <c r="IY17" s="17"/>
      <c r="IZ17" s="17"/>
      <c r="JA17" s="13"/>
      <c r="JB17" s="17"/>
      <c r="JC17" s="17"/>
      <c r="JD17" s="17"/>
      <c r="JF17" s="17">
        <f>COUNTIF(E17:DK17,"Present")+(COUNTIF(E17:DK17,"Half Day")*0.5)</f>
        <v>25</v>
      </c>
      <c r="JG17" s="17">
        <f>COUNTIF($E17:$DK17,"Absent")+(COUNTIF($E17:$DK17,"P(Half Day)")*0.5)</f>
        <v>7</v>
      </c>
    </row>
    <row r="18" spans="1:267">
      <c r="A18" s="7">
        <v>17</v>
      </c>
      <c r="B18" s="68"/>
      <c r="C18" s="10" t="s">
        <v>34</v>
      </c>
      <c r="D18" s="10" t="s">
        <v>13</v>
      </c>
      <c r="E18" s="7" t="s">
        <v>356</v>
      </c>
      <c r="F18" s="7" t="s">
        <v>352</v>
      </c>
      <c r="G18" s="7" t="s">
        <v>354</v>
      </c>
      <c r="H18" s="22" t="s">
        <v>356</v>
      </c>
      <c r="I18" s="7" t="s">
        <v>352</v>
      </c>
      <c r="J18" s="7" t="s">
        <v>352</v>
      </c>
      <c r="K18" s="7" t="s">
        <v>354</v>
      </c>
      <c r="L18" s="7" t="s">
        <v>354</v>
      </c>
      <c r="M18" s="7" t="s">
        <v>352</v>
      </c>
      <c r="N18" s="7" t="s">
        <v>352</v>
      </c>
      <c r="O18" s="7" t="s">
        <v>352</v>
      </c>
      <c r="P18" s="7" t="s">
        <v>352</v>
      </c>
      <c r="Q18" s="7" t="s">
        <v>352</v>
      </c>
      <c r="R18" s="17" t="s">
        <v>354</v>
      </c>
      <c r="S18" s="7" t="s">
        <v>352</v>
      </c>
      <c r="T18" s="7" t="s">
        <v>354</v>
      </c>
      <c r="U18" s="7" t="s">
        <v>354</v>
      </c>
      <c r="V18" s="7" t="s">
        <v>354</v>
      </c>
      <c r="W18" s="7" t="s">
        <v>352</v>
      </c>
      <c r="X18" s="7" t="s">
        <v>352</v>
      </c>
      <c r="Y18" s="7" t="s">
        <v>352</v>
      </c>
      <c r="Z18" s="7" t="s">
        <v>352</v>
      </c>
      <c r="AA18" s="7" t="s">
        <v>354</v>
      </c>
      <c r="AB18" s="17" t="s">
        <v>354</v>
      </c>
      <c r="AC18" s="7" t="s">
        <v>352</v>
      </c>
      <c r="AD18" s="7" t="s">
        <v>352</v>
      </c>
      <c r="AE18" s="7" t="s">
        <v>356</v>
      </c>
      <c r="AF18" s="17" t="s">
        <v>354</v>
      </c>
      <c r="AG18" s="7" t="s">
        <v>352</v>
      </c>
      <c r="AH18" s="7" t="s">
        <v>352</v>
      </c>
      <c r="AI18" s="7" t="s">
        <v>352</v>
      </c>
      <c r="AJ18" s="7" t="s">
        <v>352</v>
      </c>
      <c r="DC18" s="72"/>
      <c r="IJ18" s="17"/>
      <c r="IK18" s="17"/>
      <c r="IL18" s="17"/>
      <c r="IM18" s="17"/>
      <c r="IN18" s="17"/>
      <c r="IO18" s="17"/>
      <c r="IP18" s="17"/>
      <c r="IQ18" s="17"/>
      <c r="IR18" s="13"/>
      <c r="IS18" s="17"/>
      <c r="IT18" s="17"/>
      <c r="IU18" s="17"/>
      <c r="IV18" s="17"/>
      <c r="IW18" s="13"/>
      <c r="IX18" s="17"/>
      <c r="IY18" s="17"/>
      <c r="IZ18" s="17"/>
      <c r="JA18" s="13"/>
      <c r="JB18" s="17"/>
      <c r="JC18" s="17"/>
      <c r="JD18" s="17"/>
      <c r="JF18" s="17">
        <f>COUNTIF(E18:DK18,"Present")+(COUNTIF(E18:DK18,"Half Day")*0.5)</f>
        <v>11.5</v>
      </c>
      <c r="JG18" s="17">
        <f>COUNTIF($E18:$DK18,"Absent")+(COUNTIF($E18:$DK18,"P(Half Day)")*0.5)</f>
        <v>19</v>
      </c>
    </row>
    <row r="19" spans="1:267">
      <c r="A19" s="7">
        <v>18</v>
      </c>
      <c r="B19" s="69"/>
      <c r="C19" s="5" t="s">
        <v>26</v>
      </c>
      <c r="D19" s="10" t="s">
        <v>13</v>
      </c>
      <c r="E19" s="7" t="s">
        <v>352</v>
      </c>
      <c r="F19" s="7" t="s">
        <v>352</v>
      </c>
      <c r="G19" s="7" t="s">
        <v>354</v>
      </c>
      <c r="H19" s="7" t="s">
        <v>352</v>
      </c>
      <c r="I19" s="7" t="s">
        <v>354</v>
      </c>
      <c r="J19" s="7" t="s">
        <v>354</v>
      </c>
      <c r="K19" s="7" t="s">
        <v>354</v>
      </c>
      <c r="L19" s="7" t="s">
        <v>354</v>
      </c>
      <c r="M19" s="7" t="s">
        <v>352</v>
      </c>
      <c r="N19" s="7" t="s">
        <v>354</v>
      </c>
      <c r="O19" s="7" t="s">
        <v>352</v>
      </c>
      <c r="P19" s="17" t="s">
        <v>354</v>
      </c>
      <c r="Q19" s="7" t="s">
        <v>352</v>
      </c>
      <c r="R19" s="17" t="s">
        <v>354</v>
      </c>
      <c r="S19" s="7" t="s">
        <v>352</v>
      </c>
      <c r="T19" s="7" t="s">
        <v>352</v>
      </c>
      <c r="U19" s="7" t="s">
        <v>354</v>
      </c>
      <c r="V19" s="7" t="s">
        <v>354</v>
      </c>
      <c r="W19" s="7" t="s">
        <v>354</v>
      </c>
      <c r="X19" s="7" t="s">
        <v>354</v>
      </c>
      <c r="Y19" s="7" t="s">
        <v>352</v>
      </c>
      <c r="Z19" s="7" t="s">
        <v>354</v>
      </c>
      <c r="AA19" s="7" t="s">
        <v>354</v>
      </c>
      <c r="AB19" s="17" t="s">
        <v>354</v>
      </c>
      <c r="AC19" s="17" t="s">
        <v>354</v>
      </c>
      <c r="AD19" s="17" t="s">
        <v>354</v>
      </c>
      <c r="AE19" s="7" t="s">
        <v>352</v>
      </c>
      <c r="AF19" s="7" t="s">
        <v>352</v>
      </c>
      <c r="AG19" s="17" t="s">
        <v>354</v>
      </c>
      <c r="AH19" s="7" t="s">
        <v>352</v>
      </c>
      <c r="AI19" s="17" t="s">
        <v>354</v>
      </c>
      <c r="AJ19" s="17" t="s">
        <v>354</v>
      </c>
      <c r="DC19" s="72"/>
      <c r="IJ19" s="17"/>
      <c r="IK19" s="17"/>
      <c r="IL19" s="17"/>
      <c r="IM19" s="17"/>
      <c r="IN19" s="17"/>
      <c r="IO19" s="17"/>
      <c r="IP19" s="17"/>
      <c r="IQ19" s="17"/>
      <c r="IR19" s="13"/>
      <c r="IS19" s="17"/>
      <c r="IT19" s="17"/>
      <c r="IU19" s="17"/>
      <c r="IV19" s="17"/>
      <c r="IW19" s="13"/>
      <c r="IX19" s="17"/>
      <c r="IY19" s="17"/>
      <c r="IZ19" s="17"/>
      <c r="JA19" s="13"/>
      <c r="JB19" s="17"/>
      <c r="JC19" s="17"/>
      <c r="JD19" s="17"/>
      <c r="JF19" s="17">
        <f>COUNTIF(E19:DK19,"Present")+(COUNTIF(E19:DK19,"Half Day")*0.5)</f>
        <v>20</v>
      </c>
      <c r="JG19" s="17">
        <f>COUNTIF($E19:$DK19,"Absent")+(COUNTIF($E19:$DK19,"P(Half Day)")*0.5)</f>
        <v>12</v>
      </c>
    </row>
    <row r="20" spans="1:267">
      <c r="B20" s="68"/>
      <c r="C20" s="5" t="s">
        <v>363</v>
      </c>
      <c r="D20" s="10" t="s">
        <v>13</v>
      </c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7" t="s">
        <v>354</v>
      </c>
      <c r="Z20" s="7" t="s">
        <v>354</v>
      </c>
      <c r="AA20" s="7" t="s">
        <v>354</v>
      </c>
      <c r="AB20" s="17" t="s">
        <v>354</v>
      </c>
      <c r="AC20" s="17" t="s">
        <v>354</v>
      </c>
      <c r="AD20" s="7" t="s">
        <v>352</v>
      </c>
      <c r="AE20" s="17" t="s">
        <v>354</v>
      </c>
      <c r="AF20" s="17" t="s">
        <v>354</v>
      </c>
      <c r="AG20" s="17" t="s">
        <v>354</v>
      </c>
      <c r="AH20" s="17" t="s">
        <v>354</v>
      </c>
      <c r="AI20" s="17" t="s">
        <v>354</v>
      </c>
      <c r="AJ20" s="17" t="s">
        <v>354</v>
      </c>
      <c r="DC20" s="72"/>
      <c r="IR20" s="13"/>
      <c r="IW20" s="13"/>
      <c r="JA20" s="13"/>
    </row>
    <row r="21" spans="1:267">
      <c r="B21" s="68"/>
      <c r="C21" s="5" t="s">
        <v>364</v>
      </c>
      <c r="D21" s="10" t="s">
        <v>13</v>
      </c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7" t="s">
        <v>354</v>
      </c>
      <c r="Z21" s="7" t="s">
        <v>354</v>
      </c>
      <c r="AA21" s="7" t="s">
        <v>354</v>
      </c>
      <c r="AB21" s="17" t="s">
        <v>354</v>
      </c>
      <c r="AC21" s="17" t="s">
        <v>354</v>
      </c>
      <c r="AD21" s="17" t="s">
        <v>354</v>
      </c>
      <c r="AE21" s="17" t="s">
        <v>354</v>
      </c>
      <c r="AF21" s="17" t="s">
        <v>354</v>
      </c>
      <c r="AG21" s="17" t="s">
        <v>354</v>
      </c>
      <c r="AH21" s="17" t="s">
        <v>354</v>
      </c>
      <c r="AI21" s="17" t="s">
        <v>354</v>
      </c>
      <c r="AJ21" s="17" t="s">
        <v>354</v>
      </c>
      <c r="DC21" s="72"/>
      <c r="IR21" s="13"/>
      <c r="IW21" s="13"/>
      <c r="JA21" s="13"/>
    </row>
    <row r="22" spans="1:267">
      <c r="B22" s="68"/>
      <c r="C22" s="5" t="s">
        <v>365</v>
      </c>
      <c r="D22" s="10" t="s">
        <v>13</v>
      </c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7" t="s">
        <v>354</v>
      </c>
      <c r="Z22" s="7" t="s">
        <v>354</v>
      </c>
      <c r="AA22" s="7" t="s">
        <v>354</v>
      </c>
      <c r="AB22" s="17" t="s">
        <v>354</v>
      </c>
      <c r="AC22" s="17" t="s">
        <v>354</v>
      </c>
      <c r="AD22" s="17" t="s">
        <v>354</v>
      </c>
      <c r="AE22" s="17" t="s">
        <v>354</v>
      </c>
      <c r="AF22" s="17" t="s">
        <v>354</v>
      </c>
      <c r="AG22" s="17" t="s">
        <v>354</v>
      </c>
      <c r="AH22" s="17" t="s">
        <v>354</v>
      </c>
      <c r="AI22" s="17" t="s">
        <v>354</v>
      </c>
      <c r="AJ22" s="17" t="s">
        <v>354</v>
      </c>
      <c r="DC22" s="72"/>
      <c r="IR22" s="13"/>
      <c r="IW22" s="13"/>
      <c r="JA22" s="13"/>
    </row>
    <row r="23" spans="1:267" s="17" customFormat="1">
      <c r="A23" s="17">
        <v>19</v>
      </c>
      <c r="B23" s="65" t="s">
        <v>127</v>
      </c>
      <c r="C23" s="18" t="s">
        <v>154</v>
      </c>
      <c r="D23" s="15" t="s">
        <v>366</v>
      </c>
      <c r="E23" s="17" t="s">
        <v>354</v>
      </c>
      <c r="F23" s="17" t="s">
        <v>354</v>
      </c>
      <c r="G23" s="17" t="s">
        <v>354</v>
      </c>
      <c r="H23" s="17" t="s">
        <v>354</v>
      </c>
      <c r="I23" s="17" t="s">
        <v>352</v>
      </c>
      <c r="J23" s="17" t="s">
        <v>354</v>
      </c>
      <c r="K23" s="17" t="s">
        <v>354</v>
      </c>
      <c r="L23" s="17" t="s">
        <v>354</v>
      </c>
      <c r="M23" s="17" t="s">
        <v>354</v>
      </c>
      <c r="N23" s="17" t="s">
        <v>354</v>
      </c>
      <c r="O23" s="7" t="s">
        <v>352</v>
      </c>
      <c r="P23" s="17" t="s">
        <v>352</v>
      </c>
      <c r="Q23" s="17" t="s">
        <v>352</v>
      </c>
      <c r="R23" s="17" t="s">
        <v>354</v>
      </c>
      <c r="S23" s="17" t="s">
        <v>354</v>
      </c>
      <c r="T23" s="17" t="s">
        <v>354</v>
      </c>
      <c r="U23" s="17" t="s">
        <v>354</v>
      </c>
      <c r="V23" s="17" t="s">
        <v>354</v>
      </c>
      <c r="W23" s="17" t="s">
        <v>354</v>
      </c>
      <c r="X23" s="17" t="s">
        <v>352</v>
      </c>
      <c r="Y23" s="17" t="s">
        <v>352</v>
      </c>
      <c r="Z23" s="17" t="s">
        <v>352</v>
      </c>
      <c r="AA23" s="17" t="s">
        <v>352</v>
      </c>
      <c r="DC23" s="70"/>
      <c r="IR23" s="13"/>
      <c r="JF23" s="17">
        <f>COUNTIF(E23:DK23,"Present")+(COUNTIF(E23:DK23,"Half Day")*0.5)</f>
        <v>15</v>
      </c>
      <c r="JG23" s="17">
        <f>COUNTIF($E23:$DK23,"Absent")+(COUNTIF($E23:$DK23,"P(Half Day)")*0.5)</f>
        <v>8</v>
      </c>
    </row>
    <row r="24" spans="1:267" s="17" customFormat="1">
      <c r="A24" s="17">
        <v>20</v>
      </c>
      <c r="B24" s="66"/>
      <c r="C24" s="18" t="s">
        <v>125</v>
      </c>
      <c r="D24" s="15" t="s">
        <v>366</v>
      </c>
      <c r="E24" s="17" t="s">
        <v>352</v>
      </c>
      <c r="F24" s="17" t="s">
        <v>352</v>
      </c>
      <c r="G24" s="17" t="s">
        <v>352</v>
      </c>
      <c r="H24" s="17" t="s">
        <v>352</v>
      </c>
      <c r="I24" s="17" t="s">
        <v>352</v>
      </c>
      <c r="J24" s="17" t="s">
        <v>354</v>
      </c>
      <c r="K24" s="17" t="s">
        <v>354</v>
      </c>
      <c r="L24" s="17" t="s">
        <v>354</v>
      </c>
      <c r="M24" s="17" t="s">
        <v>354</v>
      </c>
      <c r="N24" s="17" t="s">
        <v>356</v>
      </c>
      <c r="O24" s="7" t="s">
        <v>352</v>
      </c>
      <c r="P24" s="17" t="s">
        <v>352</v>
      </c>
      <c r="Q24" s="17" t="s">
        <v>354</v>
      </c>
      <c r="R24" s="17" t="s">
        <v>354</v>
      </c>
      <c r="S24" s="17" t="s">
        <v>354</v>
      </c>
      <c r="T24" s="17" t="s">
        <v>354</v>
      </c>
      <c r="U24" s="17" t="s">
        <v>354</v>
      </c>
      <c r="V24" s="17" t="s">
        <v>354</v>
      </c>
      <c r="W24" s="17" t="s">
        <v>352</v>
      </c>
      <c r="X24" s="17" t="s">
        <v>352</v>
      </c>
      <c r="Y24" s="17" t="s">
        <v>352</v>
      </c>
      <c r="Z24" s="17" t="s">
        <v>352</v>
      </c>
      <c r="AA24" s="17" t="s">
        <v>354</v>
      </c>
      <c r="DC24" s="70"/>
      <c r="IR24" s="13"/>
      <c r="IW24" s="13"/>
      <c r="JA24" s="13"/>
      <c r="JE24" s="7"/>
      <c r="JF24" s="17">
        <f>COUNTIF(E24:DK24,"Present")+(COUNTIF(E24:DK24,"Half Day")*0.5)</f>
        <v>11.5</v>
      </c>
      <c r="JG24" s="17">
        <f>COUNTIF($E24:$DK24,"Absent")+(COUNTIF($E24:$DK24,"P(Half Day)")*0.5)</f>
        <v>11</v>
      </c>
    </row>
    <row r="25" spans="1:267" s="17" customFormat="1">
      <c r="A25" s="17">
        <v>21</v>
      </c>
      <c r="B25" s="66"/>
      <c r="C25" s="18" t="s">
        <v>130</v>
      </c>
      <c r="D25" s="15" t="s">
        <v>366</v>
      </c>
      <c r="E25" s="17" t="s">
        <v>352</v>
      </c>
      <c r="F25" s="17" t="s">
        <v>352</v>
      </c>
      <c r="G25" s="17" t="s">
        <v>354</v>
      </c>
      <c r="H25" s="17" t="s">
        <v>354</v>
      </c>
      <c r="I25" s="17" t="s">
        <v>354</v>
      </c>
      <c r="J25" s="17" t="s">
        <v>354</v>
      </c>
      <c r="K25" s="17" t="s">
        <v>354</v>
      </c>
      <c r="L25" s="17" t="s">
        <v>354</v>
      </c>
      <c r="M25" s="17" t="s">
        <v>352</v>
      </c>
      <c r="N25" s="17" t="s">
        <v>352</v>
      </c>
      <c r="O25" s="17" t="s">
        <v>354</v>
      </c>
      <c r="P25" s="17" t="s">
        <v>354</v>
      </c>
      <c r="Q25" s="17" t="s">
        <v>354</v>
      </c>
      <c r="R25" s="17" t="s">
        <v>354</v>
      </c>
      <c r="S25" s="17" t="s">
        <v>352</v>
      </c>
      <c r="T25" s="17" t="s">
        <v>354</v>
      </c>
      <c r="U25" s="17" t="s">
        <v>354</v>
      </c>
      <c r="V25" s="17" t="s">
        <v>356</v>
      </c>
      <c r="W25" s="17" t="s">
        <v>356</v>
      </c>
      <c r="X25" s="17" t="s">
        <v>356</v>
      </c>
      <c r="Y25" s="17" t="s">
        <v>354</v>
      </c>
      <c r="Z25" s="17" t="s">
        <v>354</v>
      </c>
      <c r="AA25" s="17" t="s">
        <v>354</v>
      </c>
      <c r="DC25" s="70"/>
      <c r="IR25" s="13"/>
      <c r="IW25" s="13"/>
      <c r="JA25" s="13"/>
      <c r="JE25" s="7"/>
      <c r="JF25" s="17">
        <f>COUNTIF(E25:DK25,"Present")+(COUNTIF(E25:DK25,"Half Day")*0.5)</f>
        <v>16.5</v>
      </c>
      <c r="JG25" s="17">
        <f>COUNTIF($E25:$DK25,"Absent")+(COUNTIF($E25:$DK25,"P(Half Day)")*0.5)</f>
        <v>5</v>
      </c>
    </row>
    <row r="26" spans="1:267" s="17" customFormat="1">
      <c r="A26" s="17">
        <v>22</v>
      </c>
      <c r="B26" s="66"/>
      <c r="C26" s="18" t="s">
        <v>133</v>
      </c>
      <c r="D26" s="15" t="s">
        <v>366</v>
      </c>
      <c r="E26" s="17" t="s">
        <v>354</v>
      </c>
      <c r="F26" s="17" t="s">
        <v>352</v>
      </c>
      <c r="G26" s="17" t="s">
        <v>354</v>
      </c>
      <c r="H26" s="17" t="s">
        <v>354</v>
      </c>
      <c r="I26" s="17" t="s">
        <v>354</v>
      </c>
      <c r="J26" s="17" t="s">
        <v>354</v>
      </c>
      <c r="K26" s="17" t="s">
        <v>354</v>
      </c>
      <c r="L26" s="17" t="s">
        <v>354</v>
      </c>
      <c r="M26" s="17" t="s">
        <v>352</v>
      </c>
      <c r="N26" s="17" t="s">
        <v>354</v>
      </c>
      <c r="O26" s="17" t="s">
        <v>354</v>
      </c>
      <c r="P26" s="17" t="s">
        <v>354</v>
      </c>
      <c r="Q26" s="17" t="s">
        <v>354</v>
      </c>
      <c r="R26" s="17" t="s">
        <v>354</v>
      </c>
      <c r="S26" s="17" t="s">
        <v>352</v>
      </c>
      <c r="T26" s="17" t="s">
        <v>354</v>
      </c>
      <c r="U26" s="17" t="s">
        <v>354</v>
      </c>
      <c r="V26" s="17" t="s">
        <v>356</v>
      </c>
      <c r="W26" s="17" t="s">
        <v>356</v>
      </c>
      <c r="X26" s="17" t="s">
        <v>356</v>
      </c>
      <c r="Y26" s="17" t="s">
        <v>354</v>
      </c>
      <c r="Z26" s="17" t="s">
        <v>354</v>
      </c>
      <c r="AA26" s="17" t="s">
        <v>354</v>
      </c>
      <c r="DC26" s="70"/>
      <c r="IR26" s="13"/>
      <c r="IW26" s="13"/>
      <c r="JA26" s="13"/>
      <c r="JE26" s="7"/>
      <c r="JF26" s="17">
        <f>COUNTIF(E26:DK26,"Present")+(COUNTIF(E26:DK26,"Half Day")*0.5)</f>
        <v>18.5</v>
      </c>
      <c r="JG26" s="17">
        <f>COUNTIF($E26:$DK26,"Absent")+(COUNTIF($E26:$DK26,"P(Half Day)")*0.5)</f>
        <v>3</v>
      </c>
    </row>
    <row r="27" spans="1:267" s="17" customFormat="1">
      <c r="A27" s="17">
        <v>23</v>
      </c>
      <c r="B27" s="66"/>
      <c r="C27" s="15" t="s">
        <v>165</v>
      </c>
      <c r="D27" s="15" t="s">
        <v>366</v>
      </c>
      <c r="E27" s="17" t="s">
        <v>352</v>
      </c>
      <c r="F27" s="17" t="s">
        <v>352</v>
      </c>
      <c r="G27" s="17" t="s">
        <v>352</v>
      </c>
      <c r="H27" s="17" t="s">
        <v>352</v>
      </c>
      <c r="I27" s="17" t="s">
        <v>352</v>
      </c>
      <c r="J27" s="17" t="s">
        <v>352</v>
      </c>
      <c r="K27" s="17" t="s">
        <v>352</v>
      </c>
      <c r="L27" s="17" t="s">
        <v>352</v>
      </c>
      <c r="M27" s="17" t="s">
        <v>352</v>
      </c>
      <c r="N27" s="17" t="s">
        <v>352</v>
      </c>
      <c r="O27" s="7" t="s">
        <v>352</v>
      </c>
      <c r="P27" s="17" t="s">
        <v>352</v>
      </c>
      <c r="Q27" s="17" t="s">
        <v>352</v>
      </c>
      <c r="R27" s="17" t="s">
        <v>352</v>
      </c>
      <c r="S27" s="17" t="s">
        <v>352</v>
      </c>
      <c r="T27" s="17" t="s">
        <v>352</v>
      </c>
      <c r="U27" s="17" t="s">
        <v>352</v>
      </c>
      <c r="V27" s="17" t="s">
        <v>352</v>
      </c>
      <c r="W27" s="17" t="s">
        <v>352</v>
      </c>
      <c r="X27" s="17" t="s">
        <v>352</v>
      </c>
      <c r="Y27" s="17" t="s">
        <v>352</v>
      </c>
      <c r="Z27" s="17" t="s">
        <v>352</v>
      </c>
      <c r="AA27" s="17" t="s">
        <v>352</v>
      </c>
      <c r="DC27" s="70"/>
      <c r="IR27" s="13"/>
      <c r="IW27" s="13"/>
      <c r="JA27" s="13"/>
      <c r="JE27" s="7"/>
      <c r="JF27" s="17">
        <f>COUNTIF(E27:DK27,"Present")+(COUNTIF(E27:DK27,"Half Day")*0.5)</f>
        <v>0</v>
      </c>
      <c r="JG27" s="17">
        <f>COUNTIF($E27:$DK27,"Absent")+(COUNTIF($E27:$DK27,"P(Half Day)")*0.5)</f>
        <v>23</v>
      </c>
    </row>
    <row r="28" spans="1:267" s="17" customFormat="1">
      <c r="A28" s="17">
        <v>24</v>
      </c>
      <c r="B28" s="67"/>
      <c r="C28" s="15" t="s">
        <v>157</v>
      </c>
      <c r="D28" s="15" t="s">
        <v>366</v>
      </c>
      <c r="E28" s="17" t="s">
        <v>356</v>
      </c>
      <c r="F28" s="17" t="s">
        <v>356</v>
      </c>
      <c r="G28" s="17" t="s">
        <v>352</v>
      </c>
      <c r="H28" s="17" t="s">
        <v>352</v>
      </c>
      <c r="I28" s="17" t="s">
        <v>352</v>
      </c>
      <c r="J28" s="17" t="s">
        <v>352</v>
      </c>
      <c r="K28" s="17" t="s">
        <v>352</v>
      </c>
      <c r="L28" s="17" t="s">
        <v>354</v>
      </c>
      <c r="M28" s="17" t="s">
        <v>354</v>
      </c>
      <c r="N28" s="17" t="s">
        <v>354</v>
      </c>
      <c r="O28" s="7" t="s">
        <v>352</v>
      </c>
      <c r="P28" s="17" t="s">
        <v>352</v>
      </c>
      <c r="Q28" s="17" t="s">
        <v>352</v>
      </c>
      <c r="R28" s="17" t="s">
        <v>354</v>
      </c>
      <c r="S28" s="17" t="s">
        <v>352</v>
      </c>
      <c r="T28" s="17" t="s">
        <v>354</v>
      </c>
      <c r="U28" s="17" t="s">
        <v>354</v>
      </c>
      <c r="V28" s="17" t="s">
        <v>354</v>
      </c>
      <c r="W28" s="17" t="s">
        <v>354</v>
      </c>
      <c r="X28" s="17" t="s">
        <v>352</v>
      </c>
      <c r="Y28" s="17" t="s">
        <v>352</v>
      </c>
      <c r="Z28" s="17" t="s">
        <v>354</v>
      </c>
      <c r="AA28" s="17" t="s">
        <v>354</v>
      </c>
      <c r="DC28" s="70"/>
      <c r="IR28" s="13"/>
      <c r="IW28" s="13"/>
      <c r="JA28" s="13"/>
      <c r="JE28" s="7"/>
      <c r="JF28" s="17">
        <f>COUNTIF(E28:DK28,"Present")+(COUNTIF(E28:DK28,"Half Day")*0.5)</f>
        <v>11</v>
      </c>
      <c r="JG28" s="17">
        <f>COUNTIF($E28:$DK28,"Absent")+(COUNTIF($E28:$DK28,"P(Half Day)")*0.5)</f>
        <v>11</v>
      </c>
    </row>
    <row r="29" spans="1:267">
      <c r="A29" s="7">
        <v>25</v>
      </c>
      <c r="B29" s="64" t="s">
        <v>90</v>
      </c>
      <c r="C29" s="10" t="s">
        <v>163</v>
      </c>
      <c r="D29" s="10" t="s">
        <v>366</v>
      </c>
      <c r="E29" s="7" t="s">
        <v>356</v>
      </c>
      <c r="F29" s="7" t="s">
        <v>356</v>
      </c>
      <c r="G29" s="7" t="s">
        <v>352</v>
      </c>
      <c r="H29" s="7" t="s">
        <v>352</v>
      </c>
      <c r="I29" s="7" t="s">
        <v>352</v>
      </c>
      <c r="J29" s="7" t="s">
        <v>352</v>
      </c>
      <c r="K29" s="7" t="s">
        <v>356</v>
      </c>
      <c r="L29" s="7" t="s">
        <v>352</v>
      </c>
      <c r="M29" s="7" t="s">
        <v>356</v>
      </c>
      <c r="N29" s="7" t="s">
        <v>354</v>
      </c>
      <c r="O29" s="7" t="s">
        <v>352</v>
      </c>
      <c r="P29" s="17" t="s">
        <v>352</v>
      </c>
      <c r="Q29" s="17" t="s">
        <v>352</v>
      </c>
      <c r="R29" s="17" t="s">
        <v>352</v>
      </c>
      <c r="S29" s="17" t="s">
        <v>352</v>
      </c>
      <c r="T29" s="17" t="s">
        <v>354</v>
      </c>
      <c r="U29" s="7" t="s">
        <v>354</v>
      </c>
      <c r="V29" s="7" t="s">
        <v>352</v>
      </c>
      <c r="W29" s="7" t="s">
        <v>352</v>
      </c>
      <c r="X29" s="7" t="s">
        <v>354</v>
      </c>
      <c r="Y29" s="7" t="s">
        <v>352</v>
      </c>
      <c r="Z29" s="7" t="s">
        <v>352</v>
      </c>
      <c r="AA29" s="7" t="s">
        <v>352</v>
      </c>
      <c r="AB29" s="7" t="s">
        <v>352</v>
      </c>
      <c r="AC29" s="7" t="s">
        <v>352</v>
      </c>
      <c r="AD29" s="7" t="s">
        <v>352</v>
      </c>
      <c r="DC29" s="72"/>
      <c r="IJ29" s="17"/>
      <c r="IK29" s="17"/>
      <c r="IL29" s="17"/>
      <c r="IM29" s="17"/>
      <c r="IN29" s="17"/>
      <c r="IO29" s="17"/>
      <c r="IP29" s="17"/>
      <c r="IQ29" s="17"/>
      <c r="IR29" s="13"/>
      <c r="IS29" s="17"/>
      <c r="IT29" s="17"/>
      <c r="IU29" s="17"/>
      <c r="IV29" s="17"/>
      <c r="IW29" s="13"/>
      <c r="IX29" s="17"/>
      <c r="IY29" s="17"/>
      <c r="IZ29" s="17"/>
      <c r="JA29" s="13"/>
      <c r="JB29" s="17"/>
      <c r="JC29" s="17"/>
      <c r="JD29" s="17"/>
      <c r="JF29" s="17">
        <f>COUNTIF(E29:DK29,"Present")+(COUNTIF(E29:DK29,"Half Day")*0.5)</f>
        <v>6</v>
      </c>
      <c r="JG29" s="17">
        <f>COUNTIF($E29:$DK29,"Absent")+(COUNTIF($E29:$DK29,"P(Half Day)")*0.5)</f>
        <v>18</v>
      </c>
    </row>
    <row r="30" spans="1:267">
      <c r="A30" s="7">
        <v>26</v>
      </c>
      <c r="B30" s="68"/>
      <c r="C30" s="10" t="s">
        <v>174</v>
      </c>
      <c r="D30" s="10" t="s">
        <v>366</v>
      </c>
      <c r="E30" s="7" t="s">
        <v>352</v>
      </c>
      <c r="F30" s="7" t="s">
        <v>352</v>
      </c>
      <c r="G30" s="7" t="s">
        <v>352</v>
      </c>
      <c r="H30" s="7" t="s">
        <v>352</v>
      </c>
      <c r="I30" s="7" t="s">
        <v>352</v>
      </c>
      <c r="J30" s="7" t="s">
        <v>354</v>
      </c>
      <c r="K30" s="7" t="s">
        <v>354</v>
      </c>
      <c r="L30" s="7" t="s">
        <v>352</v>
      </c>
      <c r="M30" s="7" t="s">
        <v>352</v>
      </c>
      <c r="N30" s="7" t="s">
        <v>352</v>
      </c>
      <c r="O30" s="7" t="s">
        <v>352</v>
      </c>
      <c r="P30" s="17" t="s">
        <v>352</v>
      </c>
      <c r="Q30" s="17" t="s">
        <v>352</v>
      </c>
      <c r="R30" s="7" t="s">
        <v>354</v>
      </c>
      <c r="S30" s="7" t="s">
        <v>354</v>
      </c>
      <c r="T30" s="7" t="s">
        <v>352</v>
      </c>
      <c r="U30" s="7" t="s">
        <v>352</v>
      </c>
      <c r="V30" s="7" t="s">
        <v>352</v>
      </c>
      <c r="W30" s="7" t="s">
        <v>352</v>
      </c>
      <c r="X30" s="7" t="s">
        <v>352</v>
      </c>
      <c r="Y30" s="7" t="s">
        <v>352</v>
      </c>
      <c r="Z30" s="7" t="s">
        <v>352</v>
      </c>
      <c r="AA30" s="7" t="s">
        <v>354</v>
      </c>
      <c r="AB30" s="7" t="s">
        <v>354</v>
      </c>
      <c r="AC30" s="7" t="s">
        <v>354</v>
      </c>
      <c r="AD30" s="7" t="s">
        <v>354</v>
      </c>
      <c r="DC30" s="72"/>
      <c r="IJ30" s="17"/>
      <c r="IK30" s="17"/>
      <c r="IL30" s="17"/>
      <c r="IM30" s="17"/>
      <c r="IN30" s="17"/>
      <c r="IO30" s="17"/>
      <c r="IP30" s="17"/>
      <c r="IQ30" s="17"/>
      <c r="IR30" s="13"/>
      <c r="IS30" s="17"/>
      <c r="IT30" s="17"/>
      <c r="IU30" s="17"/>
      <c r="IV30" s="17"/>
      <c r="IW30" s="13"/>
      <c r="IX30" s="17"/>
      <c r="IY30" s="17"/>
      <c r="IZ30" s="17"/>
      <c r="JA30" s="13"/>
      <c r="JB30" s="17"/>
      <c r="JC30" s="17"/>
      <c r="JD30" s="17"/>
      <c r="JF30" s="17">
        <f>COUNTIF(E30:DK30,"Present")+(COUNTIF(E30:DK30,"Half Day")*0.5)</f>
        <v>8</v>
      </c>
      <c r="JG30" s="17">
        <f>COUNTIF($E30:$DK30,"Absent")+(COUNTIF($E30:$DK30,"P(Half Day)")*0.5)</f>
        <v>18</v>
      </c>
    </row>
    <row r="31" spans="1:267">
      <c r="A31" s="7">
        <v>27</v>
      </c>
      <c r="B31" s="68"/>
      <c r="C31" s="5" t="s">
        <v>150</v>
      </c>
      <c r="D31" s="10" t="s">
        <v>366</v>
      </c>
      <c r="E31" s="7" t="s">
        <v>354</v>
      </c>
      <c r="F31" s="7" t="s">
        <v>356</v>
      </c>
      <c r="G31" s="7" t="s">
        <v>352</v>
      </c>
      <c r="H31" s="7" t="s">
        <v>352</v>
      </c>
      <c r="I31" s="7" t="s">
        <v>352</v>
      </c>
      <c r="J31" s="7" t="s">
        <v>352</v>
      </c>
      <c r="K31" s="7" t="s">
        <v>356</v>
      </c>
      <c r="L31" s="7" t="s">
        <v>356</v>
      </c>
      <c r="M31" s="7" t="s">
        <v>354</v>
      </c>
      <c r="N31" s="7" t="s">
        <v>354</v>
      </c>
      <c r="O31" s="7" t="s">
        <v>354</v>
      </c>
      <c r="P31" s="7" t="s">
        <v>354</v>
      </c>
      <c r="Q31" s="17" t="s">
        <v>352</v>
      </c>
      <c r="R31" s="17" t="s">
        <v>352</v>
      </c>
      <c r="S31" s="17" t="s">
        <v>352</v>
      </c>
      <c r="T31" s="7" t="s">
        <v>352</v>
      </c>
      <c r="U31" s="7" t="s">
        <v>354</v>
      </c>
      <c r="V31" s="7" t="s">
        <v>352</v>
      </c>
      <c r="W31" s="7" t="s">
        <v>352</v>
      </c>
      <c r="X31" s="7" t="s">
        <v>352</v>
      </c>
      <c r="Y31" s="7" t="s">
        <v>354</v>
      </c>
      <c r="Z31" s="7" t="s">
        <v>354</v>
      </c>
      <c r="AA31" s="7" t="s">
        <v>354</v>
      </c>
      <c r="AB31" s="7" t="s">
        <v>352</v>
      </c>
      <c r="AC31" s="7" t="s">
        <v>352</v>
      </c>
      <c r="AD31" s="7" t="s">
        <v>352</v>
      </c>
      <c r="DC31" s="72"/>
      <c r="IJ31" s="17"/>
      <c r="IK31" s="17"/>
      <c r="IL31" s="17"/>
      <c r="IM31" s="17"/>
      <c r="IN31" s="17"/>
      <c r="IO31" s="17"/>
      <c r="IP31" s="17"/>
      <c r="IQ31" s="17"/>
      <c r="IR31" s="13"/>
      <c r="IS31" s="17"/>
      <c r="IT31" s="17"/>
      <c r="IU31" s="17"/>
      <c r="IV31" s="17"/>
      <c r="IW31" s="13"/>
      <c r="IX31" s="17"/>
      <c r="IY31" s="17"/>
      <c r="IZ31" s="17"/>
      <c r="JA31" s="13"/>
      <c r="JB31" s="17"/>
      <c r="JC31" s="17"/>
      <c r="JD31" s="17"/>
      <c r="JF31" s="17">
        <f>COUNTIF(E31:DK31,"Present")+(COUNTIF(E31:DK31,"Half Day")*0.5)</f>
        <v>10.5</v>
      </c>
      <c r="JG31" s="17">
        <f>COUNTIF($E31:$DK31,"Absent")+(COUNTIF($E31:$DK31,"P(Half Day)")*0.5)</f>
        <v>14</v>
      </c>
    </row>
    <row r="32" spans="1:267">
      <c r="A32" s="7">
        <v>28</v>
      </c>
      <c r="B32" s="68"/>
      <c r="C32" s="91" t="s">
        <v>88</v>
      </c>
      <c r="D32" s="7" t="s">
        <v>367</v>
      </c>
      <c r="E32" s="7" t="s">
        <v>352</v>
      </c>
      <c r="F32" s="7" t="s">
        <v>354</v>
      </c>
      <c r="G32" s="7" t="s">
        <v>354</v>
      </c>
      <c r="H32" s="7" t="s">
        <v>354</v>
      </c>
      <c r="I32" s="7" t="s">
        <v>354</v>
      </c>
      <c r="J32" s="7" t="s">
        <v>354</v>
      </c>
      <c r="K32" s="7" t="s">
        <v>354</v>
      </c>
      <c r="L32" s="7" t="s">
        <v>354</v>
      </c>
      <c r="M32" s="7" t="s">
        <v>354</v>
      </c>
      <c r="N32" s="7" t="s">
        <v>354</v>
      </c>
      <c r="O32" s="7" t="s">
        <v>354</v>
      </c>
      <c r="P32" s="7" t="s">
        <v>354</v>
      </c>
      <c r="Q32" s="7" t="s">
        <v>354</v>
      </c>
      <c r="R32" s="7" t="s">
        <v>354</v>
      </c>
      <c r="S32" s="7" t="s">
        <v>354</v>
      </c>
      <c r="T32" s="7" t="s">
        <v>354</v>
      </c>
      <c r="U32" s="7" t="s">
        <v>354</v>
      </c>
      <c r="V32" s="7" t="s">
        <v>354</v>
      </c>
      <c r="W32" s="7" t="s">
        <v>352</v>
      </c>
      <c r="X32" s="7" t="s">
        <v>354</v>
      </c>
      <c r="Y32" s="7" t="s">
        <v>354</v>
      </c>
      <c r="Z32" s="7" t="s">
        <v>354</v>
      </c>
      <c r="AA32" s="7" t="s">
        <v>354</v>
      </c>
      <c r="AB32" s="7" t="s">
        <v>354</v>
      </c>
      <c r="AC32" s="7" t="s">
        <v>354</v>
      </c>
      <c r="AD32" s="7" t="s">
        <v>354</v>
      </c>
      <c r="DC32" s="72"/>
      <c r="IJ32" s="17"/>
      <c r="IK32" s="17"/>
      <c r="IL32" s="17"/>
      <c r="IM32" s="17"/>
      <c r="IN32" s="17"/>
      <c r="IO32" s="17"/>
      <c r="IP32" s="17"/>
      <c r="IQ32" s="17"/>
      <c r="IR32" s="13"/>
      <c r="IS32" s="17"/>
      <c r="IT32" s="17"/>
      <c r="IU32" s="17"/>
      <c r="IV32" s="17"/>
      <c r="IW32" s="13"/>
      <c r="IX32" s="17"/>
      <c r="IY32" s="17"/>
      <c r="IZ32" s="17"/>
      <c r="JA32" s="13"/>
      <c r="JB32" s="17"/>
      <c r="JC32" s="17"/>
      <c r="JD32" s="17"/>
      <c r="JF32" s="17">
        <f>COUNTIF(E32:DK32,"Present")+(COUNTIF(E32:DK32,"Half Day")*0.5)</f>
        <v>24</v>
      </c>
      <c r="JG32" s="17">
        <f>COUNTIF($E32:$DK32,"Absent")+(COUNTIF($E32:$DK32,"P(Half Day)")*0.5)</f>
        <v>2</v>
      </c>
    </row>
    <row r="33" spans="1:267" s="109" customFormat="1">
      <c r="A33" s="109">
        <v>29</v>
      </c>
      <c r="B33" s="110"/>
      <c r="C33" s="109" t="s">
        <v>119</v>
      </c>
      <c r="D33" s="109" t="s">
        <v>366</v>
      </c>
      <c r="E33" s="109" t="s">
        <v>354</v>
      </c>
      <c r="F33" s="109" t="s">
        <v>354</v>
      </c>
      <c r="G33" s="109" t="s">
        <v>354</v>
      </c>
      <c r="H33" s="109" t="s">
        <v>354</v>
      </c>
      <c r="I33" s="109" t="s">
        <v>354</v>
      </c>
      <c r="J33" s="109" t="s">
        <v>354</v>
      </c>
      <c r="K33" s="109" t="s">
        <v>354</v>
      </c>
      <c r="L33" s="109" t="s">
        <v>354</v>
      </c>
      <c r="M33" s="109" t="s">
        <v>354</v>
      </c>
      <c r="N33" s="109" t="s">
        <v>354</v>
      </c>
      <c r="O33" s="109" t="s">
        <v>354</v>
      </c>
      <c r="P33" s="109" t="s">
        <v>354</v>
      </c>
      <c r="Q33" s="109" t="s">
        <v>354</v>
      </c>
      <c r="R33" s="109" t="s">
        <v>354</v>
      </c>
      <c r="S33" s="109" t="s">
        <v>354</v>
      </c>
      <c r="T33" s="109" t="s">
        <v>354</v>
      </c>
      <c r="U33" s="109" t="s">
        <v>354</v>
      </c>
      <c r="V33" s="109" t="s">
        <v>354</v>
      </c>
      <c r="W33" s="109" t="s">
        <v>352</v>
      </c>
      <c r="X33" s="109" t="s">
        <v>354</v>
      </c>
      <c r="Y33" s="109" t="s">
        <v>354</v>
      </c>
      <c r="Z33" s="109" t="s">
        <v>354</v>
      </c>
      <c r="AA33" s="109" t="s">
        <v>354</v>
      </c>
      <c r="AB33" s="109" t="s">
        <v>354</v>
      </c>
      <c r="AC33" s="109" t="s">
        <v>354</v>
      </c>
      <c r="AD33" s="109" t="s">
        <v>354</v>
      </c>
      <c r="DC33" s="111"/>
      <c r="IR33" s="112"/>
      <c r="IW33" s="112"/>
      <c r="JA33" s="112"/>
      <c r="JF33" s="109">
        <f>COUNTIF(E33:DK33,"Present")+(COUNTIF(E33:DK33,"Half Day")*0.5)</f>
        <v>25</v>
      </c>
      <c r="JG33" s="109">
        <f>COUNTIF($E33:$DK33,"Absent")+(COUNTIF($E33:$DK33,"P(Half Day)")*0.5)</f>
        <v>1</v>
      </c>
    </row>
    <row r="34" spans="1:267" s="109" customFormat="1">
      <c r="A34" s="109">
        <v>30</v>
      </c>
      <c r="B34" s="118" t="s">
        <v>113</v>
      </c>
      <c r="C34" s="109" t="s">
        <v>147</v>
      </c>
      <c r="D34" s="109" t="s">
        <v>366</v>
      </c>
      <c r="E34" s="109" t="s">
        <v>354</v>
      </c>
      <c r="F34" s="109" t="s">
        <v>352</v>
      </c>
      <c r="G34" s="109" t="s">
        <v>352</v>
      </c>
      <c r="H34" s="109" t="s">
        <v>354</v>
      </c>
      <c r="I34" s="109" t="s">
        <v>352</v>
      </c>
      <c r="J34" s="109" t="s">
        <v>352</v>
      </c>
      <c r="K34" s="109" t="s">
        <v>354</v>
      </c>
      <c r="L34" s="109" t="s">
        <v>354</v>
      </c>
      <c r="M34" s="109" t="s">
        <v>354</v>
      </c>
      <c r="N34" s="109" t="s">
        <v>352</v>
      </c>
      <c r="O34" s="109" t="s">
        <v>352</v>
      </c>
      <c r="P34" s="109" t="s">
        <v>352</v>
      </c>
      <c r="Q34" s="109" t="s">
        <v>352</v>
      </c>
      <c r="R34" s="109" t="s">
        <v>352</v>
      </c>
      <c r="S34" s="109" t="s">
        <v>352</v>
      </c>
      <c r="T34" s="109" t="s">
        <v>352</v>
      </c>
      <c r="U34" s="109" t="s">
        <v>352</v>
      </c>
      <c r="V34" s="109" t="s">
        <v>352</v>
      </c>
      <c r="W34" s="109" t="s">
        <v>352</v>
      </c>
      <c r="X34" s="109" t="s">
        <v>352</v>
      </c>
      <c r="Y34" s="109" t="s">
        <v>352</v>
      </c>
      <c r="Z34" s="109" t="s">
        <v>352</v>
      </c>
      <c r="AA34" s="109" t="s">
        <v>352</v>
      </c>
      <c r="AB34" s="109" t="s">
        <v>352</v>
      </c>
      <c r="AC34" s="109" t="s">
        <v>352</v>
      </c>
      <c r="AD34" s="109" t="s">
        <v>352</v>
      </c>
      <c r="AE34" s="109" t="s">
        <v>352</v>
      </c>
      <c r="AF34" s="109" t="s">
        <v>352</v>
      </c>
      <c r="DC34" s="111"/>
      <c r="IR34" s="112"/>
      <c r="IW34" s="112"/>
      <c r="JA34" s="112"/>
      <c r="JF34" s="109">
        <f>COUNTIF(E34:DK34,"Present")+(COUNTIF(E34:DK34,"Half Day")*0.5)</f>
        <v>5</v>
      </c>
      <c r="JG34" s="109">
        <f>COUNTIF($E34:$DK34,"Absent")+(COUNTIF($E34:$DK34,"P(Half Day)")*0.5)</f>
        <v>23</v>
      </c>
    </row>
    <row r="35" spans="1:267" s="95" customFormat="1">
      <c r="A35" s="95">
        <v>31</v>
      </c>
      <c r="B35" s="96"/>
      <c r="C35" s="95" t="s">
        <v>110</v>
      </c>
      <c r="D35" s="95" t="s">
        <v>366</v>
      </c>
      <c r="E35" s="95" t="s">
        <v>352</v>
      </c>
      <c r="F35" s="95" t="s">
        <v>352</v>
      </c>
      <c r="G35" s="95" t="s">
        <v>352</v>
      </c>
      <c r="H35" s="95" t="s">
        <v>354</v>
      </c>
      <c r="I35" s="95" t="s">
        <v>356</v>
      </c>
      <c r="J35" s="95" t="s">
        <v>352</v>
      </c>
      <c r="K35" s="95" t="s">
        <v>352</v>
      </c>
      <c r="L35" s="95" t="s">
        <v>354</v>
      </c>
      <c r="M35" s="95" t="s">
        <v>354</v>
      </c>
      <c r="N35" s="95" t="s">
        <v>352</v>
      </c>
      <c r="O35" s="95" t="s">
        <v>352</v>
      </c>
      <c r="P35" s="95" t="s">
        <v>352</v>
      </c>
      <c r="Q35" s="95" t="s">
        <v>352</v>
      </c>
      <c r="R35" s="95" t="s">
        <v>352</v>
      </c>
      <c r="S35" s="95" t="s">
        <v>352</v>
      </c>
      <c r="T35" s="95" t="s">
        <v>352</v>
      </c>
      <c r="U35" s="95" t="s">
        <v>352</v>
      </c>
      <c r="V35" s="95" t="s">
        <v>352</v>
      </c>
      <c r="W35" s="95" t="s">
        <v>352</v>
      </c>
      <c r="X35" s="95" t="s">
        <v>352</v>
      </c>
      <c r="Y35" s="95" t="s">
        <v>352</v>
      </c>
      <c r="AA35" s="95" t="s">
        <v>352</v>
      </c>
      <c r="AB35" s="95" t="s">
        <v>354</v>
      </c>
      <c r="DC35" s="97"/>
      <c r="IR35" s="98"/>
      <c r="IW35" s="98"/>
      <c r="JA35" s="98"/>
      <c r="JF35" s="95">
        <f>COUNTIF(E35:DK35,"Present")+(COUNTIF(E35:DK35,"Half Day")*0.5)</f>
        <v>4.5</v>
      </c>
      <c r="JG35" s="95">
        <f>COUNTIF($E35:$DK35,"Absent")+(COUNTIF($E35:$DK35,"P(Half Day)")*0.5)</f>
        <v>18</v>
      </c>
    </row>
    <row r="36" spans="1:267" s="109" customFormat="1">
      <c r="A36" s="109">
        <v>32</v>
      </c>
      <c r="B36" s="119"/>
      <c r="C36" s="120" t="s">
        <v>116</v>
      </c>
      <c r="D36" s="109" t="s">
        <v>366</v>
      </c>
      <c r="E36" s="109" t="s">
        <v>354</v>
      </c>
      <c r="F36" s="109" t="s">
        <v>354</v>
      </c>
      <c r="G36" s="109" t="s">
        <v>354</v>
      </c>
      <c r="H36" s="109" t="s">
        <v>354</v>
      </c>
      <c r="I36" s="109" t="s">
        <v>354</v>
      </c>
      <c r="J36" s="109" t="s">
        <v>356</v>
      </c>
      <c r="K36" s="109" t="s">
        <v>354</v>
      </c>
      <c r="L36" s="109" t="s">
        <v>352</v>
      </c>
      <c r="M36" s="109" t="s">
        <v>352</v>
      </c>
      <c r="N36" s="109" t="s">
        <v>354</v>
      </c>
      <c r="O36" s="109" t="s">
        <v>352</v>
      </c>
      <c r="P36" s="109" t="s">
        <v>354</v>
      </c>
      <c r="Q36" s="109" t="s">
        <v>354</v>
      </c>
      <c r="R36" s="109" t="s">
        <v>354</v>
      </c>
      <c r="S36" s="109" t="s">
        <v>354</v>
      </c>
      <c r="T36" s="109" t="s">
        <v>354</v>
      </c>
      <c r="U36" s="109" t="s">
        <v>354</v>
      </c>
      <c r="V36" s="109" t="s">
        <v>354</v>
      </c>
      <c r="W36" s="109" t="s">
        <v>354</v>
      </c>
      <c r="X36" s="109" t="s">
        <v>354</v>
      </c>
      <c r="Y36" s="109" t="s">
        <v>354</v>
      </c>
      <c r="Z36" s="109" t="s">
        <v>354</v>
      </c>
      <c r="AA36" s="109" t="s">
        <v>354</v>
      </c>
      <c r="AB36" s="109" t="s">
        <v>354</v>
      </c>
      <c r="AC36" s="109" t="s">
        <v>354</v>
      </c>
      <c r="AD36" s="109" t="s">
        <v>354</v>
      </c>
      <c r="AE36" s="109" t="s">
        <v>354</v>
      </c>
      <c r="AF36" s="109" t="s">
        <v>354</v>
      </c>
      <c r="AG36" s="109" t="s">
        <v>354</v>
      </c>
      <c r="DC36" s="111"/>
      <c r="IR36" s="112"/>
      <c r="IW36" s="112"/>
      <c r="JA36" s="112"/>
      <c r="JF36" s="109">
        <f>COUNTIF(E36:DK36,"Present")+(COUNTIF(E36:DK36,"Half Day")*0.5)</f>
        <v>25.5</v>
      </c>
      <c r="JG36" s="109">
        <f>COUNTIF($E36:$DK36,"Absent")+(COUNTIF($E36:$DK36,"P(Half Day)")*0.5)</f>
        <v>3</v>
      </c>
    </row>
    <row r="37" spans="1:267" s="35" customFormat="1">
      <c r="A37" s="35">
        <v>33</v>
      </c>
      <c r="B37" s="66"/>
      <c r="C37" s="36" t="s">
        <v>188</v>
      </c>
      <c r="D37" s="37" t="s">
        <v>366</v>
      </c>
      <c r="DC37" s="73"/>
      <c r="IJ37" s="17"/>
      <c r="IK37" s="17"/>
      <c r="IL37" s="17"/>
      <c r="IM37" s="17"/>
      <c r="IN37" s="17"/>
      <c r="IO37" s="17"/>
      <c r="IP37" s="17"/>
      <c r="IQ37" s="17"/>
      <c r="IR37" s="13"/>
      <c r="IS37" s="17"/>
      <c r="IT37" s="17"/>
      <c r="IU37" s="17"/>
      <c r="IV37" s="17"/>
      <c r="IW37" s="13"/>
      <c r="IX37" s="17"/>
      <c r="IY37" s="17"/>
      <c r="IZ37" s="17"/>
      <c r="JA37" s="13"/>
      <c r="JB37" s="17"/>
      <c r="JC37" s="17"/>
      <c r="JD37" s="17"/>
      <c r="JE37" s="7"/>
      <c r="JF37" s="17">
        <f>COUNTIF(E37:DK37,"Present")+(COUNTIF(E37:DK37,"Half Day")*0.5)</f>
        <v>0</v>
      </c>
      <c r="JG37" s="17">
        <f>COUNTIF($E37:$DK37,"Absent")+(COUNTIF($E37:$DK37,"P(Half Day)")*0.5)</f>
        <v>0</v>
      </c>
    </row>
    <row r="38" spans="1:267" s="17" customFormat="1">
      <c r="A38" s="17">
        <v>34</v>
      </c>
      <c r="B38" s="66"/>
      <c r="C38" s="15" t="s">
        <v>177</v>
      </c>
      <c r="D38" s="15" t="s">
        <v>366</v>
      </c>
      <c r="E38" s="17" t="s">
        <v>354</v>
      </c>
      <c r="F38" s="17" t="s">
        <v>354</v>
      </c>
      <c r="G38" s="17" t="s">
        <v>354</v>
      </c>
      <c r="H38" s="17" t="s">
        <v>354</v>
      </c>
      <c r="I38" s="17" t="s">
        <v>354</v>
      </c>
      <c r="J38" s="17" t="s">
        <v>354</v>
      </c>
      <c r="K38" s="17" t="s">
        <v>354</v>
      </c>
      <c r="L38" s="17" t="s">
        <v>354</v>
      </c>
      <c r="M38" s="17" t="s">
        <v>354</v>
      </c>
      <c r="N38" s="17" t="s">
        <v>354</v>
      </c>
      <c r="O38" s="17" t="s">
        <v>354</v>
      </c>
      <c r="P38" s="17" t="s">
        <v>354</v>
      </c>
      <c r="Q38" s="17" t="s">
        <v>354</v>
      </c>
      <c r="R38" s="17" t="s">
        <v>352</v>
      </c>
      <c r="S38" s="17" t="s">
        <v>352</v>
      </c>
      <c r="T38" s="17" t="s">
        <v>352</v>
      </c>
      <c r="U38" s="17" t="s">
        <v>352</v>
      </c>
      <c r="V38" s="17" t="s">
        <v>352</v>
      </c>
      <c r="W38" s="17" t="s">
        <v>352</v>
      </c>
      <c r="X38" s="17" t="s">
        <v>352</v>
      </c>
      <c r="Y38" s="17" t="s">
        <v>354</v>
      </c>
      <c r="Z38" s="17" t="s">
        <v>354</v>
      </c>
      <c r="AA38" s="17" t="s">
        <v>354</v>
      </c>
      <c r="AB38" s="17" t="s">
        <v>354</v>
      </c>
      <c r="AC38" s="17" t="s">
        <v>354</v>
      </c>
      <c r="AD38" s="17" t="s">
        <v>352</v>
      </c>
      <c r="AE38" s="17" t="s">
        <v>354</v>
      </c>
      <c r="AF38" s="17" t="s">
        <v>354</v>
      </c>
      <c r="AG38" s="17" t="s">
        <v>354</v>
      </c>
      <c r="DC38" s="70"/>
      <c r="IR38" s="13"/>
      <c r="IW38" s="13"/>
      <c r="JA38" s="13"/>
      <c r="JE38" s="7"/>
      <c r="JF38" s="17">
        <f>COUNTIF(E38:DK38,"Present")+(COUNTIF(E38:DK38,"Half Day")*0.5)</f>
        <v>21</v>
      </c>
      <c r="JG38" s="17">
        <f>COUNTIF($E38:$DK38,"Absent")+(COUNTIF($E38:$DK38,"P(Half Day)")*0.5)</f>
        <v>8</v>
      </c>
    </row>
    <row r="39" spans="1:267" s="17" customFormat="1">
      <c r="B39" s="67"/>
      <c r="C39" s="15" t="s">
        <v>368</v>
      </c>
      <c r="D39" s="15" t="s">
        <v>366</v>
      </c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17" t="s">
        <v>354</v>
      </c>
      <c r="P39" s="17" t="s">
        <v>354</v>
      </c>
      <c r="Q39" s="17" t="s">
        <v>354</v>
      </c>
      <c r="R39" s="17" t="s">
        <v>354</v>
      </c>
      <c r="S39" s="17" t="s">
        <v>354</v>
      </c>
      <c r="T39" s="17" t="s">
        <v>354</v>
      </c>
      <c r="U39" s="17" t="s">
        <v>354</v>
      </c>
      <c r="V39" s="17" t="s">
        <v>354</v>
      </c>
      <c r="W39" s="17" t="s">
        <v>354</v>
      </c>
      <c r="X39" s="17" t="s">
        <v>354</v>
      </c>
      <c r="Y39" s="17" t="s">
        <v>354</v>
      </c>
      <c r="Z39" s="17" t="s">
        <v>354</v>
      </c>
      <c r="AA39" s="17" t="s">
        <v>354</v>
      </c>
      <c r="AB39" s="17" t="s">
        <v>354</v>
      </c>
      <c r="AC39" s="17" t="s">
        <v>354</v>
      </c>
      <c r="AD39" s="17" t="s">
        <v>354</v>
      </c>
      <c r="AE39" s="17" t="s">
        <v>352</v>
      </c>
      <c r="AF39" s="17" t="s">
        <v>354</v>
      </c>
      <c r="AG39" s="17" t="s">
        <v>354</v>
      </c>
      <c r="DC39" s="70"/>
      <c r="IR39" s="13"/>
      <c r="IW39" s="13"/>
      <c r="JA39" s="13"/>
      <c r="JE39" s="7"/>
      <c r="JF39" s="17">
        <f>COUNTIF(E39:DK39,"Present")+(COUNTIF(E39:DK39,"Half Day")*0.5)</f>
        <v>18</v>
      </c>
      <c r="JG39" s="17">
        <f>COUNTIF($E39:$DK39,"Absent")+(COUNTIF($E39:$DK39,"P(Half Day)")*0.5)</f>
        <v>1</v>
      </c>
    </row>
    <row r="40" spans="1:267" s="17" customFormat="1">
      <c r="B40" s="66"/>
      <c r="C40" s="15" t="s">
        <v>369</v>
      </c>
      <c r="D40" s="15" t="s">
        <v>366</v>
      </c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17" t="s">
        <v>354</v>
      </c>
      <c r="AD40" s="17" t="s">
        <v>354</v>
      </c>
      <c r="AE40" s="17" t="s">
        <v>354</v>
      </c>
      <c r="AF40" s="17" t="s">
        <v>354</v>
      </c>
      <c r="AG40" s="17" t="s">
        <v>354</v>
      </c>
      <c r="DC40" s="70"/>
      <c r="IR40" s="13"/>
      <c r="IW40" s="13"/>
      <c r="JA40" s="13"/>
      <c r="JE40" s="7"/>
    </row>
    <row r="41" spans="1:267" s="17" customFormat="1">
      <c r="B41" s="66"/>
      <c r="C41" s="15" t="s">
        <v>370</v>
      </c>
      <c r="D41" s="15" t="s">
        <v>366</v>
      </c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17" t="s">
        <v>354</v>
      </c>
      <c r="AD41" s="17" t="s">
        <v>354</v>
      </c>
      <c r="AE41" s="17" t="s">
        <v>354</v>
      </c>
      <c r="AF41" s="17" t="s">
        <v>354</v>
      </c>
      <c r="AG41" s="17" t="s">
        <v>354</v>
      </c>
      <c r="DC41" s="70"/>
      <c r="IR41" s="13"/>
      <c r="IW41" s="13"/>
      <c r="JA41" s="13"/>
      <c r="JE41" s="7"/>
    </row>
    <row r="42" spans="1:267">
      <c r="A42" s="7">
        <v>35</v>
      </c>
      <c r="B42" s="64" t="s">
        <v>16</v>
      </c>
      <c r="C42" s="10" t="s">
        <v>171</v>
      </c>
      <c r="D42" s="10" t="s">
        <v>366</v>
      </c>
      <c r="E42" s="7" t="s">
        <v>354</v>
      </c>
      <c r="F42" s="7" t="s">
        <v>354</v>
      </c>
      <c r="G42" s="41" t="s">
        <v>354</v>
      </c>
      <c r="H42" s="12" t="s">
        <v>354</v>
      </c>
      <c r="I42" s="7" t="s">
        <v>354</v>
      </c>
      <c r="J42" s="7" t="s">
        <v>354</v>
      </c>
      <c r="K42" s="7" t="s">
        <v>354</v>
      </c>
      <c r="L42" s="7" t="s">
        <v>354</v>
      </c>
      <c r="M42" s="7" t="s">
        <v>354</v>
      </c>
      <c r="N42" s="7" t="s">
        <v>352</v>
      </c>
      <c r="O42" s="7" t="s">
        <v>352</v>
      </c>
      <c r="P42" s="7" t="s">
        <v>354</v>
      </c>
      <c r="Q42" s="7" t="s">
        <v>352</v>
      </c>
      <c r="R42" s="7" t="s">
        <v>354</v>
      </c>
      <c r="S42" s="7" t="s">
        <v>354</v>
      </c>
      <c r="T42" s="7" t="s">
        <v>352</v>
      </c>
      <c r="U42" s="7" t="s">
        <v>352</v>
      </c>
      <c r="V42" s="7" t="s">
        <v>352</v>
      </c>
      <c r="W42" s="7" t="s">
        <v>356</v>
      </c>
      <c r="X42" s="7" t="s">
        <v>352</v>
      </c>
      <c r="Y42" s="7" t="s">
        <v>354</v>
      </c>
      <c r="Z42" s="7" t="s">
        <v>354</v>
      </c>
      <c r="AA42" s="7" t="s">
        <v>354</v>
      </c>
      <c r="AB42" s="7" t="s">
        <v>354</v>
      </c>
      <c r="AC42" s="7" t="s">
        <v>352</v>
      </c>
      <c r="AD42" s="7" t="s">
        <v>354</v>
      </c>
      <c r="AE42" s="7" t="s">
        <v>354</v>
      </c>
      <c r="AF42" s="7" t="s">
        <v>352</v>
      </c>
      <c r="AG42" s="7" t="s">
        <v>354</v>
      </c>
      <c r="AH42" s="7" t="s">
        <v>354</v>
      </c>
      <c r="AI42" s="7" t="s">
        <v>352</v>
      </c>
      <c r="AJ42" s="7" t="s">
        <v>352</v>
      </c>
      <c r="AO42" s="7" t="s">
        <v>352</v>
      </c>
      <c r="AP42" s="7" t="s">
        <v>354</v>
      </c>
      <c r="DC42" s="72"/>
      <c r="IJ42" s="17"/>
      <c r="IK42" s="17"/>
      <c r="IL42" s="17"/>
      <c r="IM42" s="17"/>
      <c r="IN42" s="17"/>
      <c r="IO42" s="17"/>
      <c r="IP42" s="17"/>
      <c r="IQ42" s="17"/>
      <c r="IR42" s="13"/>
      <c r="IS42" s="17"/>
      <c r="IT42" s="17"/>
      <c r="IU42" s="17"/>
      <c r="IV42" s="17"/>
      <c r="IW42" s="13"/>
      <c r="IX42" s="17"/>
      <c r="IY42" s="17"/>
      <c r="IZ42" s="17"/>
      <c r="JA42" s="13"/>
      <c r="JB42" s="17"/>
      <c r="JC42" s="17"/>
      <c r="JD42" s="17"/>
      <c r="JF42" s="17">
        <f>COUNTIF(E42:DK42,"Present")+(COUNTIF(E42:DK42,"Half Day")*0.5)</f>
        <v>21.5</v>
      </c>
      <c r="JG42" s="17">
        <f>COUNTIF($E42:$DK42,"Absent")+(COUNTIF($E42:$DK42,"P(Half Day)")*0.5)</f>
        <v>12</v>
      </c>
    </row>
    <row r="43" spans="1:267" s="95" customFormat="1">
      <c r="A43" s="95">
        <v>36</v>
      </c>
      <c r="B43" s="96"/>
      <c r="C43" s="131" t="s">
        <v>12</v>
      </c>
      <c r="D43" s="95" t="s">
        <v>366</v>
      </c>
      <c r="E43" s="95" t="s">
        <v>356</v>
      </c>
      <c r="F43" s="95" t="s">
        <v>354</v>
      </c>
      <c r="G43" s="95" t="s">
        <v>352</v>
      </c>
      <c r="H43" s="95" t="s">
        <v>354</v>
      </c>
      <c r="I43" s="95" t="s">
        <v>352</v>
      </c>
      <c r="J43" s="95" t="s">
        <v>352</v>
      </c>
      <c r="K43" s="95" t="s">
        <v>352</v>
      </c>
      <c r="L43" s="95" t="s">
        <v>352</v>
      </c>
      <c r="M43" s="95" t="s">
        <v>352</v>
      </c>
      <c r="N43" s="95" t="s">
        <v>352</v>
      </c>
      <c r="O43" s="95" t="s">
        <v>352</v>
      </c>
      <c r="P43" s="95" t="s">
        <v>352</v>
      </c>
      <c r="Q43" s="95" t="s">
        <v>352</v>
      </c>
      <c r="R43" s="95" t="s">
        <v>352</v>
      </c>
      <c r="S43" s="95" t="s">
        <v>352</v>
      </c>
      <c r="T43" s="95" t="s">
        <v>352</v>
      </c>
      <c r="U43" s="95" t="s">
        <v>352</v>
      </c>
      <c r="V43" s="95" t="s">
        <v>356</v>
      </c>
      <c r="W43" s="95" t="s">
        <v>352</v>
      </c>
      <c r="X43" s="95" t="s">
        <v>352</v>
      </c>
      <c r="Y43" s="95" t="s">
        <v>354</v>
      </c>
      <c r="Z43" s="95" t="s">
        <v>354</v>
      </c>
      <c r="AA43" s="95" t="s">
        <v>354</v>
      </c>
      <c r="AB43" s="95" t="s">
        <v>352</v>
      </c>
      <c r="AC43" s="95" t="s">
        <v>352</v>
      </c>
      <c r="AD43" s="95" t="s">
        <v>352</v>
      </c>
      <c r="AE43" s="95" t="s">
        <v>352</v>
      </c>
      <c r="AF43" s="95" t="s">
        <v>354</v>
      </c>
      <c r="AG43" s="95" t="s">
        <v>352</v>
      </c>
      <c r="AH43" s="95" t="s">
        <v>352</v>
      </c>
      <c r="AI43" s="95" t="s">
        <v>352</v>
      </c>
      <c r="AJ43" s="95" t="s">
        <v>352</v>
      </c>
      <c r="DC43" s="97"/>
      <c r="IR43" s="98"/>
      <c r="IW43" s="98"/>
      <c r="JA43" s="98"/>
      <c r="JF43" s="95">
        <f>COUNTIF(E43:DK43,"Present")+(COUNTIF(E43:DK43,"Half Day")*0.5)</f>
        <v>7</v>
      </c>
      <c r="JG43" s="95">
        <f>COUNTIF($E43:$DK43,"Absent")+(COUNTIF($E43:$DK43,"P(Half Day)")*0.5)</f>
        <v>24</v>
      </c>
    </row>
    <row r="44" spans="1:267" s="95" customFormat="1">
      <c r="A44" s="95">
        <v>37</v>
      </c>
      <c r="B44" s="96"/>
      <c r="C44" s="99" t="s">
        <v>122</v>
      </c>
      <c r="D44" s="95" t="s">
        <v>366</v>
      </c>
      <c r="E44" s="95" t="s">
        <v>352</v>
      </c>
      <c r="F44" s="95" t="s">
        <v>352</v>
      </c>
      <c r="G44" s="95" t="s">
        <v>352</v>
      </c>
      <c r="H44" s="95" t="s">
        <v>354</v>
      </c>
      <c r="I44" s="95" t="s">
        <v>352</v>
      </c>
      <c r="J44" s="95" t="s">
        <v>354</v>
      </c>
      <c r="K44" s="95" t="s">
        <v>352</v>
      </c>
      <c r="L44" s="95" t="s">
        <v>352</v>
      </c>
      <c r="M44" s="95" t="s">
        <v>354</v>
      </c>
      <c r="N44" s="95" t="s">
        <v>352</v>
      </c>
      <c r="O44" s="95" t="s">
        <v>352</v>
      </c>
      <c r="P44" s="95" t="s">
        <v>352</v>
      </c>
      <c r="Q44" s="95" t="s">
        <v>352</v>
      </c>
      <c r="R44" s="95" t="s">
        <v>352</v>
      </c>
      <c r="S44" s="95" t="s">
        <v>352</v>
      </c>
      <c r="T44" s="95" t="s">
        <v>354</v>
      </c>
      <c r="U44" s="95" t="s">
        <v>352</v>
      </c>
      <c r="V44" s="95" t="s">
        <v>354</v>
      </c>
      <c r="DC44" s="97"/>
      <c r="IR44" s="98"/>
      <c r="IW44" s="98"/>
      <c r="JA44" s="98"/>
      <c r="JF44" s="95">
        <f>COUNTIF(E44:DK44,"Present")+(COUNTIF(E44:DK44,"Half Day")*0.5)</f>
        <v>5</v>
      </c>
      <c r="JG44" s="95">
        <f>COUNTIF($E44:$DK44,"Absent")+(COUNTIF($E44:$DK44,"P(Half Day)")*0.5)</f>
        <v>13</v>
      </c>
    </row>
    <row r="45" spans="1:267">
      <c r="A45" s="7">
        <v>38</v>
      </c>
      <c r="B45" s="68"/>
      <c r="C45" s="10" t="s">
        <v>141</v>
      </c>
      <c r="D45" s="10" t="s">
        <v>366</v>
      </c>
      <c r="E45" s="39" t="s">
        <v>352</v>
      </c>
      <c r="F45" s="40" t="s">
        <v>352</v>
      </c>
      <c r="G45" s="7" t="s">
        <v>352</v>
      </c>
      <c r="H45" s="7" t="s">
        <v>354</v>
      </c>
      <c r="I45" s="22" t="s">
        <v>354</v>
      </c>
      <c r="J45" s="7" t="s">
        <v>354</v>
      </c>
      <c r="K45" s="7" t="s">
        <v>354</v>
      </c>
      <c r="L45" s="7" t="s">
        <v>354</v>
      </c>
      <c r="M45" s="7" t="s">
        <v>354</v>
      </c>
      <c r="N45" s="7" t="s">
        <v>352</v>
      </c>
      <c r="O45" s="7" t="s">
        <v>352</v>
      </c>
      <c r="P45" s="7" t="s">
        <v>354</v>
      </c>
      <c r="Q45" s="7" t="s">
        <v>354</v>
      </c>
      <c r="R45" s="7" t="s">
        <v>354</v>
      </c>
      <c r="S45" s="7" t="s">
        <v>354</v>
      </c>
      <c r="T45" s="7" t="s">
        <v>354</v>
      </c>
      <c r="U45" s="7" t="s">
        <v>354</v>
      </c>
      <c r="V45" s="7" t="s">
        <v>354</v>
      </c>
      <c r="W45" s="7" t="s">
        <v>354</v>
      </c>
      <c r="X45" s="7" t="s">
        <v>354</v>
      </c>
      <c r="Y45" s="7" t="s">
        <v>352</v>
      </c>
      <c r="Z45" s="7" t="s">
        <v>352</v>
      </c>
      <c r="AA45" s="7" t="s">
        <v>354</v>
      </c>
      <c r="AB45" s="7" t="s">
        <v>354</v>
      </c>
      <c r="AC45" s="7" t="s">
        <v>354</v>
      </c>
      <c r="AD45" s="7" t="s">
        <v>354</v>
      </c>
      <c r="AE45" s="7" t="s">
        <v>354</v>
      </c>
      <c r="AF45" s="7" t="s">
        <v>354</v>
      </c>
      <c r="AG45" s="7" t="s">
        <v>354</v>
      </c>
      <c r="AH45" s="7" t="s">
        <v>352</v>
      </c>
      <c r="AI45" s="7" t="s">
        <v>354</v>
      </c>
      <c r="AJ45" s="7" t="s">
        <v>354</v>
      </c>
      <c r="AO45" s="7" t="s">
        <v>352</v>
      </c>
      <c r="AP45" s="7" t="s">
        <v>352</v>
      </c>
      <c r="DC45" s="72"/>
      <c r="IJ45" s="17"/>
      <c r="IK45" s="17"/>
      <c r="IL45" s="17"/>
      <c r="IM45" s="17"/>
      <c r="IN45" s="17"/>
      <c r="IO45" s="17"/>
      <c r="IP45" s="17"/>
      <c r="IQ45" s="17"/>
      <c r="IR45" s="13"/>
      <c r="IS45" s="17"/>
      <c r="IT45" s="17"/>
      <c r="IU45" s="17"/>
      <c r="IV45" s="17"/>
      <c r="IW45" s="13"/>
      <c r="IX45" s="17"/>
      <c r="IY45" s="17"/>
      <c r="IZ45" s="17"/>
      <c r="JA45" s="13"/>
      <c r="JB45" s="17"/>
      <c r="JC45" s="17"/>
      <c r="JD45" s="17"/>
      <c r="JF45" s="17">
        <f>COUNTIF(E45:DK45,"Present")+(COUNTIF(E45:DK45,"Half Day")*0.5)</f>
        <v>24</v>
      </c>
      <c r="JG45" s="17">
        <f>COUNTIF($E45:$DK45,"Absent")+(COUNTIF($E45:$DK45,"P(Half Day)")*0.5)</f>
        <v>10</v>
      </c>
    </row>
    <row r="46" spans="1:267">
      <c r="A46" s="7">
        <v>39</v>
      </c>
      <c r="B46" s="68"/>
      <c r="C46" s="10" t="s">
        <v>137</v>
      </c>
      <c r="D46" s="10" t="s">
        <v>366</v>
      </c>
      <c r="E46" s="7" t="s">
        <v>354</v>
      </c>
      <c r="F46" s="7" t="s">
        <v>352</v>
      </c>
      <c r="G46" s="28" t="s">
        <v>354</v>
      </c>
      <c r="H46" s="7" t="s">
        <v>354</v>
      </c>
      <c r="I46" s="7" t="s">
        <v>354</v>
      </c>
      <c r="J46" s="7" t="s">
        <v>352</v>
      </c>
      <c r="K46" s="7" t="s">
        <v>352</v>
      </c>
      <c r="L46" s="7" t="s">
        <v>354</v>
      </c>
      <c r="M46" s="7" t="s">
        <v>356</v>
      </c>
      <c r="N46" s="7" t="s">
        <v>352</v>
      </c>
      <c r="O46" s="7" t="s">
        <v>352</v>
      </c>
      <c r="P46" s="7" t="s">
        <v>354</v>
      </c>
      <c r="Q46" s="7" t="s">
        <v>354</v>
      </c>
      <c r="R46" s="7" t="s">
        <v>354</v>
      </c>
      <c r="S46" s="7" t="s">
        <v>352</v>
      </c>
      <c r="T46" s="7" t="s">
        <v>354</v>
      </c>
      <c r="U46" s="7" t="s">
        <v>354</v>
      </c>
      <c r="V46" s="7" t="s">
        <v>354</v>
      </c>
      <c r="W46" s="7" t="s">
        <v>354</v>
      </c>
      <c r="X46" s="7" t="s">
        <v>354</v>
      </c>
      <c r="Y46" s="7" t="s">
        <v>352</v>
      </c>
      <c r="Z46" s="7" t="s">
        <v>352</v>
      </c>
      <c r="AA46" s="7" t="s">
        <v>354</v>
      </c>
      <c r="AB46" s="7" t="s">
        <v>354</v>
      </c>
      <c r="AC46" s="7" t="s">
        <v>354</v>
      </c>
      <c r="AD46" s="7" t="s">
        <v>352</v>
      </c>
      <c r="AE46" s="7" t="s">
        <v>352</v>
      </c>
      <c r="AF46" s="7" t="s">
        <v>356</v>
      </c>
      <c r="AG46" s="7" t="s">
        <v>354</v>
      </c>
      <c r="AH46" s="7" t="s">
        <v>352</v>
      </c>
      <c r="AI46" s="7" t="s">
        <v>352</v>
      </c>
      <c r="AJ46" s="7" t="s">
        <v>354</v>
      </c>
      <c r="AO46" s="7" t="s">
        <v>352</v>
      </c>
      <c r="AP46" s="7" t="s">
        <v>354</v>
      </c>
      <c r="DC46" s="72"/>
      <c r="IJ46" s="17"/>
      <c r="IK46" s="17"/>
      <c r="IL46" s="17"/>
      <c r="IM46" s="17"/>
      <c r="IN46" s="17"/>
      <c r="IO46" s="17"/>
      <c r="IP46" s="17"/>
      <c r="IQ46" s="17"/>
      <c r="IR46" s="13"/>
      <c r="IS46" s="17"/>
      <c r="IT46" s="17"/>
      <c r="IU46" s="17"/>
      <c r="IV46" s="17"/>
      <c r="IW46" s="13"/>
      <c r="IX46" s="17"/>
      <c r="IY46" s="17"/>
      <c r="IZ46" s="17"/>
      <c r="JA46" s="13"/>
      <c r="JB46" s="17"/>
      <c r="JC46" s="17"/>
      <c r="JD46" s="17"/>
      <c r="JF46" s="17">
        <f>COUNTIF(E46:DK46,"Present")+(COUNTIF(E46:DK46,"Half Day")*0.5)</f>
        <v>20</v>
      </c>
      <c r="JG46" s="17">
        <f>COUNTIF($E46:$DK46,"Absent")+(COUNTIF($E46:$DK46,"P(Half Day)")*0.5)</f>
        <v>13</v>
      </c>
    </row>
    <row r="47" spans="1:267">
      <c r="B47" s="68"/>
      <c r="C47" s="4" t="s">
        <v>371</v>
      </c>
      <c r="D47" s="23" t="s">
        <v>89</v>
      </c>
      <c r="E47" s="90"/>
      <c r="F47" s="90"/>
      <c r="G47" s="93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7" t="s">
        <v>354</v>
      </c>
      <c r="U47" s="7" t="s">
        <v>354</v>
      </c>
      <c r="V47" s="7" t="s">
        <v>354</v>
      </c>
      <c r="W47" s="7" t="s">
        <v>354</v>
      </c>
      <c r="X47" s="7" t="s">
        <v>354</v>
      </c>
      <c r="Y47" s="7" t="s">
        <v>354</v>
      </c>
      <c r="Z47" s="7" t="s">
        <v>354</v>
      </c>
      <c r="AA47" s="7" t="s">
        <v>354</v>
      </c>
      <c r="AB47" s="7" t="s">
        <v>354</v>
      </c>
      <c r="AC47" s="17" t="s">
        <v>356</v>
      </c>
      <c r="AD47" s="7" t="s">
        <v>352</v>
      </c>
      <c r="AE47" s="7" t="s">
        <v>354</v>
      </c>
      <c r="AF47" s="7" t="s">
        <v>354</v>
      </c>
      <c r="AG47" s="7" t="s">
        <v>354</v>
      </c>
      <c r="AH47" s="7" t="s">
        <v>354</v>
      </c>
      <c r="AI47" s="7" t="s">
        <v>354</v>
      </c>
      <c r="AJ47" s="7" t="s">
        <v>354</v>
      </c>
      <c r="AO47" s="7" t="s">
        <v>354</v>
      </c>
      <c r="AP47" s="7" t="s">
        <v>354</v>
      </c>
      <c r="DC47" s="72"/>
      <c r="IJ47" s="17"/>
      <c r="IK47" s="17"/>
      <c r="IL47" s="17"/>
      <c r="IM47" s="17"/>
      <c r="IN47" s="17"/>
      <c r="IO47" s="17"/>
      <c r="IP47" s="17"/>
      <c r="IQ47" s="17"/>
      <c r="IR47" s="13"/>
      <c r="IS47" s="17"/>
      <c r="IT47" s="17"/>
      <c r="IU47" s="17"/>
      <c r="IV47" s="17"/>
      <c r="IW47" s="13"/>
      <c r="IX47" s="17"/>
      <c r="IY47" s="17"/>
      <c r="IZ47" s="17"/>
      <c r="JA47" s="13"/>
      <c r="JB47" s="17"/>
      <c r="JC47" s="17"/>
      <c r="JD47" s="17"/>
      <c r="JF47" s="17">
        <f>COUNTIF(E47:DK47,"Present")+(COUNTIF(E47:DK47,"Half Day")*0.5)</f>
        <v>17.5</v>
      </c>
      <c r="JG47" s="17">
        <f>COUNTIF($E47:$DK47,"Absent")+(COUNTIF($E47:$DK47,"P(Half Day)")*0.5)</f>
        <v>1</v>
      </c>
    </row>
    <row r="48" spans="1:267">
      <c r="B48" s="68"/>
      <c r="C48" s="92" t="s">
        <v>372</v>
      </c>
      <c r="D48" s="72" t="s">
        <v>111</v>
      </c>
      <c r="E48" s="90"/>
      <c r="F48" s="90"/>
      <c r="G48" s="93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7" t="s">
        <v>354</v>
      </c>
      <c r="U48" s="7" t="s">
        <v>354</v>
      </c>
      <c r="V48" s="7" t="s">
        <v>354</v>
      </c>
      <c r="W48" s="7" t="s">
        <v>354</v>
      </c>
      <c r="X48" s="7" t="s">
        <v>354</v>
      </c>
      <c r="Y48" s="7" t="s">
        <v>354</v>
      </c>
      <c r="Z48" s="7" t="s">
        <v>354</v>
      </c>
      <c r="AA48" s="7" t="s">
        <v>354</v>
      </c>
      <c r="AB48" s="7" t="s">
        <v>354</v>
      </c>
      <c r="AC48" s="7" t="s">
        <v>354</v>
      </c>
      <c r="AD48" s="7" t="s">
        <v>354</v>
      </c>
      <c r="AE48" s="7" t="s">
        <v>354</v>
      </c>
      <c r="AF48" s="7" t="s">
        <v>354</v>
      </c>
      <c r="AG48" s="7" t="s">
        <v>354</v>
      </c>
      <c r="AH48" s="7" t="s">
        <v>354</v>
      </c>
      <c r="AI48" s="7" t="s">
        <v>354</v>
      </c>
      <c r="AJ48" s="7" t="s">
        <v>354</v>
      </c>
      <c r="AO48" s="7" t="s">
        <v>352</v>
      </c>
      <c r="AP48" s="7" t="s">
        <v>354</v>
      </c>
      <c r="DC48" s="72"/>
      <c r="IJ48" s="17"/>
      <c r="IK48" s="17"/>
      <c r="IL48" s="17"/>
      <c r="IM48" s="17"/>
      <c r="IN48" s="17"/>
      <c r="IO48" s="17"/>
      <c r="IP48" s="17"/>
      <c r="IQ48" s="17"/>
      <c r="IR48" s="13"/>
      <c r="IS48" s="17"/>
      <c r="IT48" s="17"/>
      <c r="IU48" s="17"/>
      <c r="IV48" s="17"/>
      <c r="IW48" s="13"/>
      <c r="IX48" s="17"/>
      <c r="IY48" s="17"/>
      <c r="IZ48" s="17"/>
      <c r="JA48" s="13"/>
      <c r="JB48" s="17"/>
      <c r="JC48" s="17"/>
      <c r="JD48" s="17"/>
      <c r="JF48" s="17">
        <f>COUNTIF(E48:DK48,"Present")+(COUNTIF(E48:DK48,"Half Day")*0.5)</f>
        <v>18</v>
      </c>
      <c r="JG48" s="17">
        <f>COUNTIF($E48:$DK48,"Absent")+(COUNTIF($E48:$DK48,"P(Half Day)")*0.5)</f>
        <v>1</v>
      </c>
    </row>
    <row r="49" spans="1:267">
      <c r="B49" s="69"/>
      <c r="C49" s="4" t="s">
        <v>373</v>
      </c>
      <c r="D49" s="23" t="s">
        <v>89</v>
      </c>
      <c r="E49" s="90"/>
      <c r="F49" s="90"/>
      <c r="G49" s="93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7" t="s">
        <v>354</v>
      </c>
      <c r="U49" s="7" t="s">
        <v>354</v>
      </c>
      <c r="V49" s="7" t="s">
        <v>352</v>
      </c>
      <c r="W49" s="7" t="s">
        <v>354</v>
      </c>
      <c r="X49" s="7" t="s">
        <v>354</v>
      </c>
      <c r="Y49" s="7" t="s">
        <v>352</v>
      </c>
      <c r="Z49" s="7" t="s">
        <v>354</v>
      </c>
      <c r="AA49" s="7" t="s">
        <v>354</v>
      </c>
      <c r="AB49" s="7" t="s">
        <v>354</v>
      </c>
      <c r="AC49" s="7" t="s">
        <v>354</v>
      </c>
      <c r="AD49" s="7" t="s">
        <v>354</v>
      </c>
      <c r="AE49" s="7" t="s">
        <v>354</v>
      </c>
      <c r="AF49" s="7" t="s">
        <v>354</v>
      </c>
      <c r="AG49" s="7" t="s">
        <v>354</v>
      </c>
      <c r="AH49" s="7" t="s">
        <v>354</v>
      </c>
      <c r="AI49" s="7" t="s">
        <v>354</v>
      </c>
      <c r="AJ49" s="7" t="s">
        <v>354</v>
      </c>
      <c r="AO49" s="7" t="s">
        <v>352</v>
      </c>
      <c r="AP49" s="7" t="s">
        <v>354</v>
      </c>
      <c r="DC49" s="72"/>
      <c r="IJ49" s="17"/>
      <c r="IK49" s="17"/>
      <c r="IL49" s="17"/>
      <c r="IM49" s="17"/>
      <c r="IN49" s="17"/>
      <c r="IO49" s="17"/>
      <c r="IP49" s="17"/>
      <c r="IQ49" s="17"/>
      <c r="IR49" s="13"/>
      <c r="IS49" s="17"/>
      <c r="IT49" s="17"/>
      <c r="IU49" s="17"/>
      <c r="IV49" s="17"/>
      <c r="IW49" s="13"/>
      <c r="IX49" s="17"/>
      <c r="IY49" s="17"/>
      <c r="IZ49" s="17"/>
      <c r="JA49" s="13"/>
      <c r="JB49" s="17"/>
      <c r="JC49" s="17"/>
      <c r="JD49" s="17"/>
      <c r="JF49" s="17">
        <f>COUNTIF(E49:DK49,"Present")+(COUNTIF(E49:DK49,"Half Day")*0.5)</f>
        <v>16</v>
      </c>
      <c r="JG49" s="17">
        <f>COUNTIF($E49:$DK49,"Absent")+(COUNTIF($E49:$DK49,"P(Half Day)")*0.5)</f>
        <v>3</v>
      </c>
    </row>
    <row r="50" spans="1:267" s="17" customFormat="1">
      <c r="A50" s="17">
        <v>40</v>
      </c>
      <c r="B50" s="65" t="s">
        <v>103</v>
      </c>
      <c r="C50" s="15" t="s">
        <v>144</v>
      </c>
      <c r="D50" s="15" t="s">
        <v>366</v>
      </c>
      <c r="E50" s="20" t="s">
        <v>352</v>
      </c>
      <c r="F50" s="20" t="s">
        <v>354</v>
      </c>
      <c r="G50" s="20" t="s">
        <v>352</v>
      </c>
      <c r="H50" s="17" t="s">
        <v>354</v>
      </c>
      <c r="I50" s="17" t="s">
        <v>354</v>
      </c>
      <c r="J50" s="17" t="s">
        <v>352</v>
      </c>
      <c r="K50" s="17" t="s">
        <v>354</v>
      </c>
      <c r="L50" s="17" t="s">
        <v>354</v>
      </c>
      <c r="M50" s="17" t="s">
        <v>354</v>
      </c>
      <c r="N50" s="17" t="s">
        <v>352</v>
      </c>
      <c r="O50" s="17" t="s">
        <v>352</v>
      </c>
      <c r="P50" s="17" t="s">
        <v>354</v>
      </c>
      <c r="Q50" s="17" t="s">
        <v>354</v>
      </c>
      <c r="R50" s="17" t="s">
        <v>354</v>
      </c>
      <c r="S50" s="17" t="s">
        <v>354</v>
      </c>
      <c r="T50" s="17" t="s">
        <v>354</v>
      </c>
      <c r="U50" s="17" t="s">
        <v>354</v>
      </c>
      <c r="V50" s="17" t="s">
        <v>356</v>
      </c>
      <c r="W50" s="17" t="s">
        <v>356</v>
      </c>
      <c r="X50" s="17" t="s">
        <v>352</v>
      </c>
      <c r="Y50" s="17" t="s">
        <v>352</v>
      </c>
      <c r="Z50" s="17" t="s">
        <v>352</v>
      </c>
      <c r="AA50" s="7" t="s">
        <v>354</v>
      </c>
      <c r="AB50" s="17" t="s">
        <v>354</v>
      </c>
      <c r="AC50" s="17" t="s">
        <v>354</v>
      </c>
      <c r="AD50" s="17" t="s">
        <v>354</v>
      </c>
      <c r="AE50" s="7" t="s">
        <v>354</v>
      </c>
      <c r="AF50" s="7" t="s">
        <v>352</v>
      </c>
      <c r="AG50" s="7" t="s">
        <v>354</v>
      </c>
      <c r="DC50" s="70"/>
      <c r="IR50" s="13"/>
      <c r="IW50" s="13"/>
      <c r="JA50" s="13"/>
      <c r="JE50" s="7"/>
      <c r="JF50" s="17">
        <f>COUNTIF(E50:DK50,"Present")+(COUNTIF(E50:DK50,"Half Day")*0.5)</f>
        <v>19</v>
      </c>
      <c r="JG50" s="17">
        <f>COUNTIF($E50:$DK50,"Absent")+(COUNTIF($E50:$DK50,"P(Half Day)")*0.5)</f>
        <v>9</v>
      </c>
    </row>
    <row r="51" spans="1:267" s="17" customFormat="1">
      <c r="A51" s="17">
        <v>41</v>
      </c>
      <c r="B51" s="66"/>
      <c r="C51" s="18" t="s">
        <v>168</v>
      </c>
      <c r="D51" s="15" t="s">
        <v>366</v>
      </c>
      <c r="E51" s="20" t="s">
        <v>352</v>
      </c>
      <c r="F51" s="20" t="s">
        <v>352</v>
      </c>
      <c r="G51" s="20" t="s">
        <v>352</v>
      </c>
      <c r="H51" s="20" t="s">
        <v>352</v>
      </c>
      <c r="I51" s="20" t="s">
        <v>352</v>
      </c>
      <c r="J51" s="17" t="s">
        <v>352</v>
      </c>
      <c r="K51" s="17" t="s">
        <v>352</v>
      </c>
      <c r="L51" s="17" t="s">
        <v>352</v>
      </c>
      <c r="M51" s="17" t="s">
        <v>352</v>
      </c>
      <c r="N51" s="17" t="s">
        <v>352</v>
      </c>
      <c r="O51" s="17" t="s">
        <v>352</v>
      </c>
      <c r="P51" s="17" t="s">
        <v>352</v>
      </c>
      <c r="Q51" s="17" t="s">
        <v>352</v>
      </c>
      <c r="R51" s="17" t="s">
        <v>352</v>
      </c>
      <c r="S51" s="17" t="s">
        <v>354</v>
      </c>
      <c r="T51" s="17" t="s">
        <v>352</v>
      </c>
      <c r="U51" s="17" t="s">
        <v>352</v>
      </c>
      <c r="V51" s="17" t="s">
        <v>352</v>
      </c>
      <c r="W51" s="17" t="s">
        <v>352</v>
      </c>
      <c r="X51" s="17" t="s">
        <v>352</v>
      </c>
      <c r="Y51" s="17" t="s">
        <v>352</v>
      </c>
      <c r="Z51" s="17" t="s">
        <v>352</v>
      </c>
      <c r="AA51" s="17" t="s">
        <v>352</v>
      </c>
      <c r="AB51" s="17" t="s">
        <v>352</v>
      </c>
      <c r="AC51" s="17" t="s">
        <v>352</v>
      </c>
      <c r="AD51" s="17" t="s">
        <v>352</v>
      </c>
      <c r="AE51" s="7" t="s">
        <v>352</v>
      </c>
      <c r="AF51" s="7" t="s">
        <v>352</v>
      </c>
      <c r="AG51" s="7" t="s">
        <v>352</v>
      </c>
      <c r="AH51" s="17" t="s">
        <v>352</v>
      </c>
      <c r="AI51" s="17" t="s">
        <v>352</v>
      </c>
      <c r="AJ51" s="17" t="s">
        <v>352</v>
      </c>
      <c r="AK51" s="17" t="s">
        <v>352</v>
      </c>
      <c r="AL51" s="17" t="s">
        <v>352</v>
      </c>
      <c r="DC51" s="70"/>
      <c r="IR51" s="13"/>
      <c r="IW51" s="13"/>
      <c r="JA51" s="13"/>
      <c r="JE51" s="7"/>
      <c r="JF51" s="17">
        <f>COUNTIF(E51:DK51,"Present")+(COUNTIF(E51:DK51,"Half Day")*0.5)</f>
        <v>1</v>
      </c>
      <c r="JG51" s="17">
        <f>COUNTIF($E51:$DK51,"Absent")+(COUNTIF($E51:$DK51,"P(Half Day)")*0.5)</f>
        <v>33</v>
      </c>
    </row>
    <row r="52" spans="1:267" s="37" customFormat="1">
      <c r="A52" s="37">
        <v>42</v>
      </c>
      <c r="B52" s="66"/>
      <c r="C52" s="37" t="s">
        <v>374</v>
      </c>
      <c r="D52" s="37" t="s">
        <v>366</v>
      </c>
      <c r="E52" s="38"/>
      <c r="F52" s="38"/>
      <c r="G52" s="38"/>
      <c r="H52" s="38"/>
      <c r="DC52" s="71"/>
      <c r="IJ52" s="17"/>
      <c r="IK52" s="17"/>
      <c r="IL52" s="17"/>
      <c r="IM52" s="17"/>
      <c r="IN52" s="17"/>
      <c r="IO52" s="17"/>
      <c r="IP52" s="17"/>
      <c r="IQ52" s="17"/>
      <c r="IR52" s="13"/>
      <c r="IS52" s="17"/>
      <c r="IT52" s="17"/>
      <c r="IU52" s="17"/>
      <c r="IV52" s="17"/>
      <c r="IW52" s="13"/>
      <c r="IX52" s="17"/>
      <c r="IY52" s="17"/>
      <c r="IZ52" s="17"/>
      <c r="JA52" s="13"/>
      <c r="JB52" s="17"/>
      <c r="JC52" s="17"/>
      <c r="JD52" s="17"/>
      <c r="JE52" s="7"/>
      <c r="JF52" s="17">
        <f>COUNTIF(E52:DK52,"Present")+(COUNTIF(E52:DK52,"Half Day")*0.5)</f>
        <v>0</v>
      </c>
      <c r="JG52" s="17">
        <f>COUNTIF($E52:$DK52,"Absent")+(COUNTIF($E52:$DK52,"P(Half Day)")*0.5)</f>
        <v>0</v>
      </c>
    </row>
    <row r="53" spans="1:267" s="17" customFormat="1">
      <c r="A53" s="17">
        <v>43</v>
      </c>
      <c r="B53" s="66"/>
      <c r="C53" s="15" t="s">
        <v>106</v>
      </c>
      <c r="D53" s="15" t="s">
        <v>366</v>
      </c>
      <c r="E53" s="20" t="s">
        <v>354</v>
      </c>
      <c r="F53" s="20" t="s">
        <v>354</v>
      </c>
      <c r="G53" s="26" t="s">
        <v>354</v>
      </c>
      <c r="H53" s="17" t="s">
        <v>354</v>
      </c>
      <c r="I53" s="17" t="s">
        <v>356</v>
      </c>
      <c r="J53" s="17" t="s">
        <v>354</v>
      </c>
      <c r="K53" s="17" t="s">
        <v>354</v>
      </c>
      <c r="L53" s="17" t="s">
        <v>354</v>
      </c>
      <c r="M53" s="17" t="s">
        <v>354</v>
      </c>
      <c r="N53" s="17" t="s">
        <v>354</v>
      </c>
      <c r="O53" s="17" t="s">
        <v>352</v>
      </c>
      <c r="P53" s="17" t="s">
        <v>354</v>
      </c>
      <c r="Q53" s="17" t="s">
        <v>354</v>
      </c>
      <c r="R53" s="17" t="s">
        <v>354</v>
      </c>
      <c r="S53" s="17" t="s">
        <v>354</v>
      </c>
      <c r="T53" s="17" t="s">
        <v>352</v>
      </c>
      <c r="U53" s="17" t="s">
        <v>354</v>
      </c>
      <c r="V53" s="17" t="s">
        <v>354</v>
      </c>
      <c r="W53" s="17" t="s">
        <v>354</v>
      </c>
      <c r="X53" s="17" t="s">
        <v>354</v>
      </c>
      <c r="Y53" s="17" t="s">
        <v>352</v>
      </c>
      <c r="Z53" s="17" t="s">
        <v>354</v>
      </c>
      <c r="AA53" s="7" t="s">
        <v>354</v>
      </c>
      <c r="AB53" s="17" t="s">
        <v>354</v>
      </c>
      <c r="AC53" s="17" t="s">
        <v>354</v>
      </c>
      <c r="AD53" s="17" t="s">
        <v>354</v>
      </c>
      <c r="AE53" s="7" t="s">
        <v>354</v>
      </c>
      <c r="AF53" s="7" t="s">
        <v>354</v>
      </c>
      <c r="AG53" s="7" t="s">
        <v>354</v>
      </c>
      <c r="DC53" s="70"/>
      <c r="IR53" s="13"/>
      <c r="IW53" s="13"/>
      <c r="JA53" s="13"/>
      <c r="JE53" s="7"/>
      <c r="JF53" s="17">
        <f>COUNTIF(E53:DK53,"Present")+(COUNTIF(E53:DK53,"Half Day")*0.5)</f>
        <v>25.5</v>
      </c>
      <c r="JG53" s="17">
        <f>COUNTIF($E53:$DK53,"Absent")+(COUNTIF($E53:$DK53,"P(Half Day)")*0.5)</f>
        <v>3</v>
      </c>
    </row>
    <row r="54" spans="1:267" s="17" customFormat="1">
      <c r="A54" s="17">
        <v>44</v>
      </c>
      <c r="B54" s="67"/>
      <c r="C54" s="18" t="s">
        <v>101</v>
      </c>
      <c r="D54" s="15" t="s">
        <v>366</v>
      </c>
      <c r="E54" s="20" t="s">
        <v>352</v>
      </c>
      <c r="F54" s="20" t="s">
        <v>352</v>
      </c>
      <c r="G54" s="20" t="s">
        <v>352</v>
      </c>
      <c r="H54" s="20" t="s">
        <v>352</v>
      </c>
      <c r="I54" s="17" t="s">
        <v>352</v>
      </c>
      <c r="J54" s="17" t="s">
        <v>352</v>
      </c>
      <c r="K54" s="17" t="s">
        <v>352</v>
      </c>
      <c r="L54" s="17" t="s">
        <v>352</v>
      </c>
      <c r="M54" s="17" t="s">
        <v>352</v>
      </c>
      <c r="N54" s="17" t="s">
        <v>352</v>
      </c>
      <c r="O54" s="17" t="s">
        <v>352</v>
      </c>
      <c r="P54" s="17" t="s">
        <v>352</v>
      </c>
      <c r="Q54" s="17" t="s">
        <v>352</v>
      </c>
      <c r="R54" s="17" t="s">
        <v>352</v>
      </c>
      <c r="S54" s="17" t="s">
        <v>352</v>
      </c>
      <c r="T54" s="17" t="s">
        <v>352</v>
      </c>
      <c r="U54" s="17" t="s">
        <v>352</v>
      </c>
      <c r="V54" s="17" t="s">
        <v>352</v>
      </c>
      <c r="W54" s="17" t="s">
        <v>352</v>
      </c>
      <c r="X54" s="17" t="s">
        <v>352</v>
      </c>
      <c r="Y54" s="17" t="s">
        <v>354</v>
      </c>
      <c r="Z54" s="17" t="s">
        <v>352</v>
      </c>
      <c r="AA54" s="17" t="s">
        <v>352</v>
      </c>
      <c r="AB54" s="17" t="s">
        <v>352</v>
      </c>
      <c r="AC54" s="17" t="s">
        <v>352</v>
      </c>
      <c r="AD54" s="17" t="s">
        <v>352</v>
      </c>
      <c r="AE54" s="7" t="s">
        <v>352</v>
      </c>
      <c r="AF54" s="7" t="s">
        <v>352</v>
      </c>
      <c r="AG54" s="7" t="s">
        <v>352</v>
      </c>
      <c r="DC54" s="70"/>
      <c r="IR54" s="13"/>
      <c r="IW54" s="13"/>
      <c r="JA54" s="13"/>
      <c r="JE54" s="7"/>
      <c r="JF54" s="17">
        <f>COUNTIF(E54:DK54,"Present")+(COUNTIF(E54:DK54,"Half Day")*0.5)</f>
        <v>1</v>
      </c>
      <c r="JG54" s="17">
        <f>COUNTIF($E54:$DK54,"Absent")+(COUNTIF($E54:$DK54,"P(Half Day)")*0.5)</f>
        <v>28</v>
      </c>
    </row>
    <row r="55" spans="1:267" s="17" customFormat="1">
      <c r="B55" s="66"/>
      <c r="C55" s="18" t="s">
        <v>375</v>
      </c>
      <c r="D55" s="15" t="s">
        <v>13</v>
      </c>
      <c r="E55" s="108"/>
      <c r="F55" s="108"/>
      <c r="G55" s="108"/>
      <c r="H55" s="108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7" t="s">
        <v>354</v>
      </c>
      <c r="AF55" s="7" t="s">
        <v>354</v>
      </c>
      <c r="AG55" s="7" t="s">
        <v>354</v>
      </c>
      <c r="DC55" s="70"/>
      <c r="IR55" s="13"/>
      <c r="IW55" s="13"/>
      <c r="JA55" s="13"/>
      <c r="JE55" s="7"/>
    </row>
    <row r="56" spans="1:267" s="17" customFormat="1">
      <c r="B56" s="66"/>
      <c r="C56" s="18" t="s">
        <v>376</v>
      </c>
      <c r="D56" s="15" t="s">
        <v>366</v>
      </c>
      <c r="E56" s="108"/>
      <c r="F56" s="108"/>
      <c r="G56" s="108"/>
      <c r="H56" s="108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DC56" s="70"/>
      <c r="IR56" s="13"/>
      <c r="IW56" s="13"/>
      <c r="JA56" s="13"/>
      <c r="JE56" s="7"/>
    </row>
    <row r="57" spans="1:267">
      <c r="A57" s="7">
        <v>45</v>
      </c>
      <c r="B57" s="64" t="s">
        <v>73</v>
      </c>
      <c r="C57" s="10" t="s">
        <v>71</v>
      </c>
      <c r="D57" s="10" t="s">
        <v>68</v>
      </c>
      <c r="E57" s="7" t="s">
        <v>354</v>
      </c>
      <c r="F57" s="7" t="s">
        <v>354</v>
      </c>
      <c r="G57" s="7" t="s">
        <v>354</v>
      </c>
      <c r="H57" s="7" t="s">
        <v>354</v>
      </c>
      <c r="I57" s="7" t="s">
        <v>354</v>
      </c>
      <c r="J57" s="7" t="s">
        <v>352</v>
      </c>
      <c r="K57" s="7" t="s">
        <v>354</v>
      </c>
      <c r="L57" s="7" t="s">
        <v>354</v>
      </c>
      <c r="M57" s="7" t="s">
        <v>354</v>
      </c>
      <c r="N57" s="7" t="s">
        <v>354</v>
      </c>
      <c r="O57" s="17" t="s">
        <v>352</v>
      </c>
      <c r="P57" s="7" t="s">
        <v>354</v>
      </c>
      <c r="Q57" s="7" t="s">
        <v>354</v>
      </c>
      <c r="R57" s="7" t="s">
        <v>354</v>
      </c>
      <c r="S57" s="7" t="s">
        <v>354</v>
      </c>
      <c r="T57" s="7" t="s">
        <v>354</v>
      </c>
      <c r="U57" s="7" t="s">
        <v>354</v>
      </c>
      <c r="V57" s="7" t="s">
        <v>354</v>
      </c>
      <c r="W57" s="7" t="s">
        <v>354</v>
      </c>
      <c r="X57" s="7" t="s">
        <v>354</v>
      </c>
      <c r="Y57" s="7" t="s">
        <v>354</v>
      </c>
      <c r="Z57" s="7" t="s">
        <v>354</v>
      </c>
      <c r="AA57" s="7" t="s">
        <v>354</v>
      </c>
      <c r="AB57" s="7" t="s">
        <v>352</v>
      </c>
      <c r="AC57" s="7" t="s">
        <v>352</v>
      </c>
      <c r="AD57" s="7" t="s">
        <v>354</v>
      </c>
      <c r="AE57" s="7" t="s">
        <v>354</v>
      </c>
      <c r="AF57" s="7" t="s">
        <v>354</v>
      </c>
      <c r="AG57" s="7" t="s">
        <v>354</v>
      </c>
      <c r="AH57" s="7" t="s">
        <v>354</v>
      </c>
      <c r="AI57" s="7" t="s">
        <v>354</v>
      </c>
      <c r="AJ57" s="7" t="s">
        <v>354</v>
      </c>
      <c r="AK57" s="7" t="s">
        <v>354</v>
      </c>
      <c r="AL57" s="7" t="s">
        <v>352</v>
      </c>
      <c r="AM57" s="7" t="s">
        <v>354</v>
      </c>
      <c r="DC57" s="72"/>
      <c r="IJ57" s="17"/>
      <c r="IK57" s="17"/>
      <c r="IL57" s="17"/>
      <c r="IM57" s="17"/>
      <c r="IN57" s="17"/>
      <c r="IO57" s="17"/>
      <c r="IP57" s="17"/>
      <c r="IQ57" s="17"/>
      <c r="IR57" s="13"/>
      <c r="IS57" s="17"/>
      <c r="IT57" s="17"/>
      <c r="IU57" s="17"/>
      <c r="IV57" s="17"/>
      <c r="IW57" s="13"/>
      <c r="IX57" s="17"/>
      <c r="IY57" s="17"/>
      <c r="IZ57" s="17"/>
      <c r="JA57" s="13"/>
      <c r="JB57" s="17"/>
      <c r="JC57" s="17"/>
      <c r="JD57" s="17"/>
      <c r="JF57" s="17">
        <f>COUNTIF(E57:DK57,"Present")+(COUNTIF(E57:DK57,"Half Day")*0.5)</f>
        <v>30</v>
      </c>
      <c r="JG57" s="17">
        <f>COUNTIF($E57:$DK57,"Absent")+(COUNTIF($E57:$DK57,"P(Half Day)")*0.5)</f>
        <v>5</v>
      </c>
    </row>
    <row r="58" spans="1:267" s="113" customFormat="1">
      <c r="A58" s="113">
        <v>46</v>
      </c>
      <c r="B58" s="114" t="s">
        <v>73</v>
      </c>
      <c r="C58" s="113" t="s">
        <v>80</v>
      </c>
      <c r="D58" s="113" t="s">
        <v>68</v>
      </c>
      <c r="E58" s="113" t="s">
        <v>354</v>
      </c>
      <c r="F58" s="113" t="s">
        <v>354</v>
      </c>
      <c r="G58" s="113" t="s">
        <v>354</v>
      </c>
      <c r="H58" s="113" t="s">
        <v>352</v>
      </c>
      <c r="I58" s="113" t="s">
        <v>354</v>
      </c>
      <c r="J58" s="113" t="s">
        <v>354</v>
      </c>
      <c r="K58" s="113" t="s">
        <v>354</v>
      </c>
      <c r="L58" s="113" t="s">
        <v>354</v>
      </c>
      <c r="M58" s="113" t="s">
        <v>354</v>
      </c>
      <c r="N58" s="113" t="s">
        <v>352</v>
      </c>
      <c r="O58" s="113" t="s">
        <v>354</v>
      </c>
      <c r="P58" s="113" t="s">
        <v>354</v>
      </c>
      <c r="Q58" s="113" t="s">
        <v>354</v>
      </c>
      <c r="R58" s="113" t="s">
        <v>354</v>
      </c>
      <c r="S58" s="113" t="s">
        <v>354</v>
      </c>
      <c r="T58" s="113" t="s">
        <v>354</v>
      </c>
      <c r="U58" s="113" t="s">
        <v>354</v>
      </c>
      <c r="V58" s="113" t="s">
        <v>354</v>
      </c>
      <c r="W58" s="113" t="s">
        <v>354</v>
      </c>
      <c r="X58" s="113" t="s">
        <v>354</v>
      </c>
      <c r="Y58" s="113" t="s">
        <v>352</v>
      </c>
      <c r="Z58" s="113" t="s">
        <v>354</v>
      </c>
      <c r="AA58" s="113" t="s">
        <v>354</v>
      </c>
      <c r="AB58" s="113" t="s">
        <v>354</v>
      </c>
      <c r="AC58" s="113" t="s">
        <v>352</v>
      </c>
      <c r="AD58" s="113" t="s">
        <v>354</v>
      </c>
      <c r="AE58" s="113" t="s">
        <v>354</v>
      </c>
      <c r="DC58" s="116"/>
      <c r="IR58" s="117"/>
      <c r="IW58" s="117"/>
      <c r="JA58" s="117"/>
      <c r="JF58" s="113">
        <f>COUNTIF(E58:DK58,"Present")+(COUNTIF(E58:DK58,"Half Day")*0.5)</f>
        <v>23</v>
      </c>
      <c r="JG58" s="113">
        <f>COUNTIF($E58:$DK58,"Absent")+(COUNTIF($E58:$DK58,"P(Half Day)")*0.5)</f>
        <v>4</v>
      </c>
    </row>
    <row r="59" spans="1:267">
      <c r="A59" s="7">
        <v>47</v>
      </c>
      <c r="B59" s="64" t="s">
        <v>73</v>
      </c>
      <c r="C59" s="10" t="s">
        <v>76</v>
      </c>
      <c r="D59" s="10" t="s">
        <v>68</v>
      </c>
      <c r="E59" s="7" t="s">
        <v>354</v>
      </c>
      <c r="F59" s="7" t="s">
        <v>354</v>
      </c>
      <c r="G59" s="7" t="s">
        <v>354</v>
      </c>
      <c r="H59" s="7" t="s">
        <v>354</v>
      </c>
      <c r="I59" s="7" t="s">
        <v>354</v>
      </c>
      <c r="J59" s="7" t="s">
        <v>352</v>
      </c>
      <c r="K59" s="7" t="s">
        <v>352</v>
      </c>
      <c r="L59" s="7" t="s">
        <v>354</v>
      </c>
      <c r="M59" s="7" t="s">
        <v>354</v>
      </c>
      <c r="N59" s="7" t="s">
        <v>354</v>
      </c>
      <c r="O59" s="17" t="s">
        <v>352</v>
      </c>
      <c r="P59" s="7" t="s">
        <v>354</v>
      </c>
      <c r="Q59" s="7" t="s">
        <v>354</v>
      </c>
      <c r="R59" s="7" t="s">
        <v>354</v>
      </c>
      <c r="S59" s="7" t="s">
        <v>354</v>
      </c>
      <c r="T59" s="7" t="s">
        <v>354</v>
      </c>
      <c r="U59" s="7" t="s">
        <v>354</v>
      </c>
      <c r="V59" s="7" t="s">
        <v>354</v>
      </c>
      <c r="W59" s="7" t="s">
        <v>354</v>
      </c>
      <c r="X59" s="7" t="s">
        <v>354</v>
      </c>
      <c r="Y59" s="7" t="s">
        <v>354</v>
      </c>
      <c r="Z59" s="7" t="s">
        <v>354</v>
      </c>
      <c r="AA59" s="7" t="s">
        <v>354</v>
      </c>
      <c r="AB59" s="7" t="s">
        <v>352</v>
      </c>
      <c r="AC59" s="7" t="s">
        <v>352</v>
      </c>
      <c r="AD59" s="7" t="s">
        <v>354</v>
      </c>
      <c r="AE59" s="7" t="s">
        <v>354</v>
      </c>
      <c r="AF59" s="7" t="s">
        <v>354</v>
      </c>
      <c r="AG59" s="7" t="s">
        <v>354</v>
      </c>
      <c r="AH59" s="7" t="s">
        <v>354</v>
      </c>
      <c r="AI59" s="7" t="s">
        <v>354</v>
      </c>
      <c r="AJ59" s="7" t="s">
        <v>354</v>
      </c>
      <c r="AK59" s="7" t="s">
        <v>354</v>
      </c>
      <c r="AL59" s="7" t="s">
        <v>352</v>
      </c>
      <c r="AM59" s="7" t="s">
        <v>352</v>
      </c>
      <c r="DC59" s="72"/>
      <c r="IJ59" s="17"/>
      <c r="IK59" s="17"/>
      <c r="IL59" s="17"/>
      <c r="IM59" s="17"/>
      <c r="IN59" s="17"/>
      <c r="IO59" s="17"/>
      <c r="IP59" s="17"/>
      <c r="IQ59" s="17"/>
      <c r="IR59" s="13"/>
      <c r="IS59" s="17"/>
      <c r="IT59" s="17"/>
      <c r="IU59" s="17"/>
      <c r="IV59" s="17"/>
      <c r="IW59" s="13"/>
      <c r="IX59" s="17"/>
      <c r="IY59" s="17"/>
      <c r="IZ59" s="17"/>
      <c r="JA59" s="13"/>
      <c r="JB59" s="17"/>
      <c r="JC59" s="17"/>
      <c r="JD59" s="17"/>
      <c r="JF59" s="17">
        <f>COUNTIF(E59:DK59,"Present")+(COUNTIF(E59:DK59,"Half Day")*0.5)</f>
        <v>28</v>
      </c>
      <c r="JG59" s="17">
        <f>COUNTIF($E59:$DK59,"Absent")+(COUNTIF($E59:$DK59,"P(Half Day)")*0.5)</f>
        <v>7</v>
      </c>
    </row>
    <row r="60" spans="1:267">
      <c r="A60" s="7">
        <v>48</v>
      </c>
      <c r="B60" s="64" t="s">
        <v>73</v>
      </c>
      <c r="C60" s="5" t="s">
        <v>196</v>
      </c>
      <c r="D60" s="10" t="s">
        <v>68</v>
      </c>
      <c r="E60" s="7" t="s">
        <v>352</v>
      </c>
      <c r="F60" s="7" t="s">
        <v>352</v>
      </c>
      <c r="G60" s="7" t="s">
        <v>354</v>
      </c>
      <c r="H60" s="7" t="s">
        <v>354</v>
      </c>
      <c r="I60" s="7" t="s">
        <v>352</v>
      </c>
      <c r="J60" s="7" t="s">
        <v>352</v>
      </c>
      <c r="K60" s="7" t="s">
        <v>352</v>
      </c>
      <c r="L60" s="7" t="s">
        <v>352</v>
      </c>
      <c r="M60" s="7" t="s">
        <v>352</v>
      </c>
      <c r="N60" s="7" t="s">
        <v>352</v>
      </c>
      <c r="O60" s="17" t="s">
        <v>352</v>
      </c>
      <c r="P60" s="7" t="s">
        <v>352</v>
      </c>
      <c r="Q60" s="7" t="s">
        <v>352</v>
      </c>
      <c r="R60" s="7" t="s">
        <v>352</v>
      </c>
      <c r="S60" s="7" t="s">
        <v>352</v>
      </c>
      <c r="T60" s="7" t="s">
        <v>352</v>
      </c>
      <c r="U60" s="7" t="s">
        <v>352</v>
      </c>
      <c r="V60" s="7" t="s">
        <v>352</v>
      </c>
      <c r="W60" s="7" t="s">
        <v>352</v>
      </c>
      <c r="X60" s="7" t="s">
        <v>352</v>
      </c>
      <c r="Y60" s="7" t="s">
        <v>352</v>
      </c>
      <c r="Z60" s="7" t="s">
        <v>352</v>
      </c>
      <c r="AA60" s="7" t="s">
        <v>352</v>
      </c>
      <c r="AB60" s="7" t="s">
        <v>352</v>
      </c>
      <c r="AC60" s="7" t="s">
        <v>352</v>
      </c>
      <c r="AD60" s="7" t="s">
        <v>352</v>
      </c>
      <c r="AE60" s="7" t="s">
        <v>352</v>
      </c>
      <c r="AF60" s="7" t="s">
        <v>352</v>
      </c>
      <c r="AG60" s="7" t="s">
        <v>352</v>
      </c>
      <c r="AH60" s="7" t="s">
        <v>352</v>
      </c>
      <c r="AI60" s="7" t="s">
        <v>352</v>
      </c>
      <c r="AJ60" s="7" t="s">
        <v>352</v>
      </c>
      <c r="AK60" s="7" t="s">
        <v>352</v>
      </c>
      <c r="AL60" s="7" t="s">
        <v>352</v>
      </c>
      <c r="AM60" s="7" t="s">
        <v>352</v>
      </c>
      <c r="DC60" s="72"/>
      <c r="IJ60" s="17"/>
      <c r="IK60" s="17"/>
      <c r="IL60" s="17"/>
      <c r="IM60" s="17"/>
      <c r="IN60" s="17"/>
      <c r="IO60" s="17"/>
      <c r="IP60" s="17"/>
      <c r="IQ60" s="17"/>
      <c r="IR60" s="13"/>
      <c r="IS60" s="17"/>
      <c r="IT60" s="17"/>
      <c r="IU60" s="17"/>
      <c r="IV60" s="17"/>
      <c r="IW60" s="13"/>
      <c r="IX60" s="17"/>
      <c r="IY60" s="17"/>
      <c r="IZ60" s="17"/>
      <c r="JA60" s="13"/>
      <c r="JB60" s="17"/>
      <c r="JC60" s="17"/>
      <c r="JD60" s="17"/>
      <c r="JF60" s="17">
        <f>COUNTIF(E60:DK60,"Present")+(COUNTIF(E60:DK60,"Half Day")*0.5)</f>
        <v>2</v>
      </c>
      <c r="JG60" s="17">
        <f>COUNTIF($E60:$DK60,"Absent")+(COUNTIF($E60:$DK60,"P(Half Day)")*0.5)</f>
        <v>33</v>
      </c>
    </row>
    <row r="61" spans="1:267">
      <c r="A61" s="7">
        <v>49</v>
      </c>
      <c r="B61" s="64" t="s">
        <v>73</v>
      </c>
      <c r="C61" s="7" t="s">
        <v>82</v>
      </c>
      <c r="D61" s="10" t="s">
        <v>68</v>
      </c>
      <c r="E61" s="7" t="s">
        <v>354</v>
      </c>
      <c r="F61" s="7" t="s">
        <v>354</v>
      </c>
      <c r="G61" s="7" t="s">
        <v>352</v>
      </c>
      <c r="H61" s="7" t="s">
        <v>352</v>
      </c>
      <c r="I61" s="7" t="s">
        <v>352</v>
      </c>
      <c r="J61" s="7" t="s">
        <v>354</v>
      </c>
      <c r="K61" s="7" t="s">
        <v>354</v>
      </c>
      <c r="L61" s="7" t="s">
        <v>354</v>
      </c>
      <c r="M61" s="7" t="s">
        <v>352</v>
      </c>
      <c r="N61" s="7" t="s">
        <v>352</v>
      </c>
      <c r="O61" s="17" t="s">
        <v>352</v>
      </c>
      <c r="P61" s="7" t="s">
        <v>354</v>
      </c>
      <c r="Q61" s="7" t="s">
        <v>354</v>
      </c>
      <c r="R61" s="7" t="s">
        <v>354</v>
      </c>
      <c r="S61" s="7" t="s">
        <v>352</v>
      </c>
      <c r="T61" s="7" t="s">
        <v>354</v>
      </c>
      <c r="U61" s="7" t="s">
        <v>354</v>
      </c>
      <c r="V61" s="7" t="s">
        <v>352</v>
      </c>
      <c r="W61" s="7" t="s">
        <v>352</v>
      </c>
      <c r="X61" s="7" t="s">
        <v>352</v>
      </c>
      <c r="Y61" s="7" t="s">
        <v>352</v>
      </c>
      <c r="Z61" s="7" t="s">
        <v>352</v>
      </c>
      <c r="AA61" s="7" t="s">
        <v>352</v>
      </c>
      <c r="AB61" s="7" t="s">
        <v>352</v>
      </c>
      <c r="AC61" s="7" t="s">
        <v>352</v>
      </c>
      <c r="AD61" s="7" t="s">
        <v>354</v>
      </c>
      <c r="AE61" s="7" t="s">
        <v>354</v>
      </c>
      <c r="AF61" s="7" t="s">
        <v>352</v>
      </c>
      <c r="AG61" s="7" t="s">
        <v>354</v>
      </c>
      <c r="AH61" s="7" t="s">
        <v>352</v>
      </c>
      <c r="AI61" s="7" t="s">
        <v>354</v>
      </c>
      <c r="AJ61" s="7" t="s">
        <v>354</v>
      </c>
      <c r="AK61" s="7" t="s">
        <v>352</v>
      </c>
      <c r="AL61" s="7" t="s">
        <v>352</v>
      </c>
      <c r="DC61" s="72"/>
      <c r="IJ61" s="17"/>
      <c r="IK61" s="17"/>
      <c r="IL61" s="17"/>
      <c r="IM61" s="17"/>
      <c r="IN61" s="17"/>
      <c r="IO61" s="17"/>
      <c r="IP61" s="17"/>
      <c r="IQ61" s="17"/>
      <c r="IR61" s="13"/>
      <c r="IS61" s="17"/>
      <c r="IT61" s="17"/>
      <c r="IU61" s="17"/>
      <c r="IV61" s="17"/>
      <c r="IW61" s="13"/>
      <c r="IX61" s="17"/>
      <c r="IY61" s="17"/>
      <c r="IZ61" s="17"/>
      <c r="JA61" s="13"/>
      <c r="JB61" s="17"/>
      <c r="JC61" s="17"/>
      <c r="JD61" s="17"/>
      <c r="JF61" s="17">
        <f>COUNTIF(E61:DK61,"Present")+(COUNTIF(E61:DK61,"Half Day")*0.5)</f>
        <v>15</v>
      </c>
      <c r="JG61" s="17">
        <f>COUNTIF($E61:$DK61,"Absent")+(COUNTIF($E61:$DK61,"P(Half Day)")*0.5)</f>
        <v>19</v>
      </c>
    </row>
    <row r="62" spans="1:267" s="113" customFormat="1">
      <c r="A62" s="113">
        <v>50</v>
      </c>
      <c r="B62" s="114" t="s">
        <v>57</v>
      </c>
      <c r="C62" s="113" t="s">
        <v>63</v>
      </c>
      <c r="D62" s="113" t="s">
        <v>377</v>
      </c>
      <c r="E62" s="113" t="s">
        <v>354</v>
      </c>
      <c r="F62" s="113" t="s">
        <v>354</v>
      </c>
      <c r="G62" s="113" t="s">
        <v>354</v>
      </c>
      <c r="H62" s="113" t="s">
        <v>354</v>
      </c>
      <c r="I62" s="113" t="s">
        <v>354</v>
      </c>
      <c r="J62" s="113" t="s">
        <v>352</v>
      </c>
      <c r="K62" s="113" t="s">
        <v>352</v>
      </c>
      <c r="L62" s="113" t="s">
        <v>352</v>
      </c>
      <c r="M62" s="113" t="s">
        <v>352</v>
      </c>
      <c r="N62" s="113" t="s">
        <v>352</v>
      </c>
      <c r="O62" s="113" t="s">
        <v>354</v>
      </c>
      <c r="P62" s="115" t="s">
        <v>354</v>
      </c>
      <c r="Q62" s="115" t="s">
        <v>354</v>
      </c>
      <c r="R62" s="115" t="s">
        <v>354</v>
      </c>
      <c r="S62" s="115" t="s">
        <v>354</v>
      </c>
      <c r="T62" s="115" t="s">
        <v>354</v>
      </c>
      <c r="U62" s="115" t="s">
        <v>354</v>
      </c>
      <c r="V62" s="115" t="s">
        <v>354</v>
      </c>
      <c r="W62" s="115" t="s">
        <v>354</v>
      </c>
      <c r="X62" s="115" t="s">
        <v>354</v>
      </c>
      <c r="Y62" s="115" t="s">
        <v>354</v>
      </c>
      <c r="Z62" s="115" t="s">
        <v>354</v>
      </c>
      <c r="AA62" s="115" t="s">
        <v>354</v>
      </c>
      <c r="AB62" s="115" t="s">
        <v>354</v>
      </c>
      <c r="DC62" s="116"/>
      <c r="IR62" s="117"/>
      <c r="IW62" s="117"/>
      <c r="JA62" s="117"/>
      <c r="JF62" s="113">
        <f>COUNTIF(E62:DK62,"Present")+(COUNTIF(E62:DK62,"Half Day")*0.5)</f>
        <v>19</v>
      </c>
      <c r="JG62" s="113">
        <f>COUNTIF($E62:$DK62,"Absent")+(COUNTIF($E62:$DK62,"P(Half Day)")*0.5)</f>
        <v>5</v>
      </c>
    </row>
    <row r="63" spans="1:267" s="17" customFormat="1">
      <c r="A63" s="17">
        <v>51</v>
      </c>
      <c r="B63" s="65" t="s">
        <v>57</v>
      </c>
      <c r="C63" s="17" t="s">
        <v>67</v>
      </c>
      <c r="D63" s="15" t="s">
        <v>377</v>
      </c>
      <c r="E63" s="17" t="s">
        <v>354</v>
      </c>
      <c r="F63" s="17" t="s">
        <v>354</v>
      </c>
      <c r="G63" s="17" t="s">
        <v>354</v>
      </c>
      <c r="H63" s="17" t="s">
        <v>354</v>
      </c>
      <c r="I63" s="17" t="s">
        <v>354</v>
      </c>
      <c r="J63" s="17" t="s">
        <v>354</v>
      </c>
      <c r="K63" s="17" t="s">
        <v>354</v>
      </c>
      <c r="L63" s="17" t="s">
        <v>354</v>
      </c>
      <c r="M63" s="17" t="s">
        <v>354</v>
      </c>
      <c r="N63" s="17" t="s">
        <v>354</v>
      </c>
      <c r="O63" s="17" t="s">
        <v>354</v>
      </c>
      <c r="P63" s="78" t="s">
        <v>354</v>
      </c>
      <c r="Q63" s="78" t="s">
        <v>354</v>
      </c>
      <c r="R63" s="78" t="s">
        <v>354</v>
      </c>
      <c r="S63" s="78" t="s">
        <v>354</v>
      </c>
      <c r="T63" s="78" t="s">
        <v>354</v>
      </c>
      <c r="U63" s="78" t="s">
        <v>354</v>
      </c>
      <c r="V63" s="78" t="s">
        <v>354</v>
      </c>
      <c r="W63" s="78" t="s">
        <v>354</v>
      </c>
      <c r="X63" s="78" t="s">
        <v>354</v>
      </c>
      <c r="Y63" s="78" t="s">
        <v>354</v>
      </c>
      <c r="Z63" s="78" t="s">
        <v>354</v>
      </c>
      <c r="AA63" s="7" t="s">
        <v>352</v>
      </c>
      <c r="AB63" s="78" t="s">
        <v>354</v>
      </c>
      <c r="DC63" s="70"/>
      <c r="IR63" s="13"/>
      <c r="IW63" s="13"/>
      <c r="JA63" s="13"/>
      <c r="JE63" s="7"/>
      <c r="JF63" s="17">
        <f>COUNTIF(E63:DK63,"Present")+(COUNTIF(E63:DK63,"Half Day")*0.5)</f>
        <v>23</v>
      </c>
      <c r="JG63" s="17">
        <f>COUNTIF($E63:$DK63,"Absent")+(COUNTIF($E63:$DK63,"P(Half Day)")*0.5)</f>
        <v>1</v>
      </c>
    </row>
    <row r="64" spans="1:267" s="17" customFormat="1">
      <c r="A64" s="17">
        <v>52</v>
      </c>
      <c r="B64" s="65" t="s">
        <v>57</v>
      </c>
      <c r="C64" s="17" t="s">
        <v>60</v>
      </c>
      <c r="D64" s="15" t="s">
        <v>13</v>
      </c>
      <c r="E64" s="17" t="s">
        <v>354</v>
      </c>
      <c r="F64" s="17" t="s">
        <v>354</v>
      </c>
      <c r="G64" s="17" t="s">
        <v>354</v>
      </c>
      <c r="H64" s="17" t="s">
        <v>354</v>
      </c>
      <c r="I64" s="17" t="s">
        <v>354</v>
      </c>
      <c r="J64" s="17" t="s">
        <v>354</v>
      </c>
      <c r="K64" s="17" t="s">
        <v>354</v>
      </c>
      <c r="L64" s="17" t="s">
        <v>354</v>
      </c>
      <c r="M64" s="17" t="s">
        <v>354</v>
      </c>
      <c r="N64" s="17" t="s">
        <v>352</v>
      </c>
      <c r="O64" s="17" t="s">
        <v>354</v>
      </c>
      <c r="P64" s="78" t="s">
        <v>354</v>
      </c>
      <c r="Q64" s="78" t="s">
        <v>354</v>
      </c>
      <c r="R64" s="78" t="s">
        <v>354</v>
      </c>
      <c r="S64" s="78" t="s">
        <v>354</v>
      </c>
      <c r="T64" s="78" t="s">
        <v>354</v>
      </c>
      <c r="U64" s="78" t="s">
        <v>354</v>
      </c>
      <c r="V64" s="78" t="s">
        <v>354</v>
      </c>
      <c r="W64" s="78" t="s">
        <v>354</v>
      </c>
      <c r="X64" s="78" t="s">
        <v>354</v>
      </c>
      <c r="Y64" s="78" t="s">
        <v>354</v>
      </c>
      <c r="Z64" s="78" t="s">
        <v>354</v>
      </c>
      <c r="AA64" s="7" t="s">
        <v>352</v>
      </c>
      <c r="AB64" s="7" t="s">
        <v>352</v>
      </c>
      <c r="DC64" s="70"/>
      <c r="IR64" s="13"/>
      <c r="IW64" s="13"/>
      <c r="JA64" s="13"/>
      <c r="JE64" s="7"/>
      <c r="JF64" s="17">
        <f>COUNTIF(E64:DK64,"Present")+(COUNTIF(E64:DK64,"Half Day")*0.5)</f>
        <v>21</v>
      </c>
      <c r="JG64" s="17">
        <f>COUNTIF($E64:$DK64,"Absent")+(COUNTIF($E64:$DK64,"P(Half Day)")*0.5)</f>
        <v>3</v>
      </c>
    </row>
    <row r="65" spans="1:267" s="17" customFormat="1">
      <c r="A65" s="17">
        <v>53</v>
      </c>
      <c r="B65" s="65" t="s">
        <v>57</v>
      </c>
      <c r="C65" s="17" t="s">
        <v>55</v>
      </c>
      <c r="D65" s="15" t="s">
        <v>13</v>
      </c>
      <c r="E65" s="17" t="s">
        <v>354</v>
      </c>
      <c r="F65" s="17" t="s">
        <v>354</v>
      </c>
      <c r="G65" s="17" t="s">
        <v>354</v>
      </c>
      <c r="H65" s="17" t="s">
        <v>354</v>
      </c>
      <c r="I65" s="17" t="s">
        <v>354</v>
      </c>
      <c r="J65" s="17" t="s">
        <v>354</v>
      </c>
      <c r="K65" s="17" t="s">
        <v>354</v>
      </c>
      <c r="L65" s="17" t="s">
        <v>354</v>
      </c>
      <c r="M65" s="17" t="s">
        <v>354</v>
      </c>
      <c r="N65" s="17" t="s">
        <v>354</v>
      </c>
      <c r="O65" s="17" t="s">
        <v>352</v>
      </c>
      <c r="P65" s="78" t="s">
        <v>354</v>
      </c>
      <c r="Q65" s="78" t="s">
        <v>354</v>
      </c>
      <c r="R65" s="78" t="s">
        <v>354</v>
      </c>
      <c r="S65" s="78" t="s">
        <v>354</v>
      </c>
      <c r="T65" s="78" t="s">
        <v>354</v>
      </c>
      <c r="U65" s="78" t="s">
        <v>354</v>
      </c>
      <c r="V65" s="78" t="s">
        <v>354</v>
      </c>
      <c r="W65" s="78" t="s">
        <v>354</v>
      </c>
      <c r="X65" s="78" t="s">
        <v>354</v>
      </c>
      <c r="Y65" s="78" t="s">
        <v>354</v>
      </c>
      <c r="Z65" s="78" t="s">
        <v>354</v>
      </c>
      <c r="AA65" s="78" t="s">
        <v>354</v>
      </c>
      <c r="AB65" s="78" t="s">
        <v>354</v>
      </c>
      <c r="DC65" s="70"/>
      <c r="IR65" s="13"/>
      <c r="IW65" s="13"/>
      <c r="JA65" s="13"/>
      <c r="JE65" s="7"/>
      <c r="JF65" s="17">
        <f>COUNTIF(E65:DK65,"Present")+(COUNTIF(E65:DK65,"Half Day")*0.5)</f>
        <v>23</v>
      </c>
      <c r="JG65" s="17">
        <f>COUNTIF($E65:$DK65,"Absent")+(COUNTIF($E65:$DK65,"P(Half Day)")*0.5)</f>
        <v>1</v>
      </c>
    </row>
    <row r="66" spans="1:267" s="17" customFormat="1">
      <c r="A66" s="17">
        <v>54</v>
      </c>
      <c r="B66" s="65" t="s">
        <v>57</v>
      </c>
      <c r="C66" s="78" t="s">
        <v>93</v>
      </c>
      <c r="D66" s="78" t="s">
        <v>367</v>
      </c>
      <c r="E66" s="94"/>
      <c r="F66" s="94"/>
      <c r="G66" s="94"/>
      <c r="H66" s="94"/>
      <c r="I66" s="94"/>
      <c r="J66" s="94"/>
      <c r="K66" s="78" t="s">
        <v>354</v>
      </c>
      <c r="L66" s="78" t="s">
        <v>354</v>
      </c>
      <c r="M66" s="78" t="s">
        <v>354</v>
      </c>
      <c r="N66" s="78" t="s">
        <v>354</v>
      </c>
      <c r="O66" s="78" t="s">
        <v>354</v>
      </c>
      <c r="P66" s="78" t="s">
        <v>354</v>
      </c>
      <c r="Q66" s="78" t="s">
        <v>354</v>
      </c>
      <c r="R66" s="78" t="s">
        <v>354</v>
      </c>
      <c r="S66" s="78" t="s">
        <v>354</v>
      </c>
      <c r="T66" s="7" t="s">
        <v>352</v>
      </c>
      <c r="U66" s="7" t="s">
        <v>352</v>
      </c>
      <c r="V66" s="7" t="s">
        <v>352</v>
      </c>
      <c r="W66" s="78" t="s">
        <v>354</v>
      </c>
      <c r="X66" s="7" t="s">
        <v>352</v>
      </c>
      <c r="Y66" s="78" t="s">
        <v>354</v>
      </c>
      <c r="Z66" s="78" t="s">
        <v>354</v>
      </c>
      <c r="AA66" s="78" t="s">
        <v>354</v>
      </c>
      <c r="AB66" s="78" t="s">
        <v>354</v>
      </c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9"/>
      <c r="IR66" s="13"/>
      <c r="IW66" s="13"/>
      <c r="JA66" s="13"/>
      <c r="JF66" s="17">
        <f>COUNTIF(E66:DK66,"Present")+(COUNTIF(E66:DK66,"Half Day")*0.5)</f>
        <v>14</v>
      </c>
      <c r="JG66" s="17">
        <f>COUNTIF($E66:$DK66,"Absent")+(COUNTIF($E66:$DK66,"P(Half Day)")*0.5)</f>
        <v>4</v>
      </c>
    </row>
    <row r="67" spans="1:267">
      <c r="B67" s="66"/>
      <c r="C67" s="78" t="s">
        <v>378</v>
      </c>
      <c r="D67" s="78" t="s">
        <v>367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9"/>
      <c r="IX67" s="17"/>
      <c r="JC67" s="17"/>
      <c r="JD67" s="17"/>
      <c r="JF67" s="17">
        <f>COUNTIF(E67:DK67,"Present")+(COUNTIF(E67:DK67,"Half Day")*0.5)</f>
        <v>0</v>
      </c>
      <c r="JG67" s="17">
        <f>COUNTIF($E67:$DK67,"Absent")+(COUNTIF($E67:$DK67,"P(Half Day)")*0.5)</f>
        <v>0</v>
      </c>
    </row>
    <row r="68" spans="1:267">
      <c r="JC68" s="17"/>
      <c r="JD68" s="17"/>
      <c r="JF68" s="17">
        <f>COUNTIF(E68:DK68,"Present")+(COUNTIF(E68:DK68,"Half Day")*0.5)</f>
        <v>0</v>
      </c>
      <c r="JG68" s="17">
        <f>COUNTIF($E68:$DK68,"Absent")+(COUNTIF($E68:$DK68,"P(Half Day)")*0.5)</f>
        <v>0</v>
      </c>
    </row>
    <row r="69" spans="1:267">
      <c r="JC69" s="17"/>
      <c r="JD69" s="17"/>
      <c r="JF69" s="17">
        <f>COUNTIF(E69:DK69,"Present")+(COUNTIF(E69:DK69,"Half Day")*0.5)</f>
        <v>0</v>
      </c>
      <c r="JG69" s="17">
        <f>COUNTIF($E69:$DK69,"Absent")+(COUNTIF($E69:$DK69,"P(Half Day)")*0.5)</f>
        <v>0</v>
      </c>
    </row>
    <row r="70" spans="1:267">
      <c r="JC70" s="17"/>
      <c r="JD70" s="17"/>
      <c r="JF70" s="17">
        <f>COUNTIF(E70:DK70,"Present")+(COUNTIF(E70:DK70,"Half Day")*0.5)</f>
        <v>0</v>
      </c>
      <c r="JG70" s="17">
        <f>COUNTIF($E70:$DK70,"Absent")+(COUNTIF($E70:$DK70,"P(Half Day)")*0.5)</f>
        <v>0</v>
      </c>
    </row>
    <row r="71" spans="1:267">
      <c r="JC71" s="17"/>
      <c r="JD71" s="17"/>
      <c r="JF71" s="17">
        <f>COUNTIF(E71:DK71,"Present")+(COUNTIF(E71:DK71,"Half Day")*0.5)</f>
        <v>0</v>
      </c>
      <c r="JG71" s="17">
        <f>COUNTIF($E71:$DK71,"Absent")+(COUNTIF($E71:$DK71,"P(Half Day)")*0.5)</f>
        <v>0</v>
      </c>
    </row>
    <row r="72" spans="1:267">
      <c r="JC72" s="17"/>
      <c r="JD72" s="17"/>
      <c r="JF72" s="17">
        <f>COUNTIF(E72:DK72,"Present")+(COUNTIF(E72:DK72,"Half Day")*0.5)</f>
        <v>0</v>
      </c>
      <c r="JG72" s="17">
        <f>COUNTIF($E72:$DK72,"Absent")+(COUNTIF($E72:$DK72,"P(Half Day)")*0.5)</f>
        <v>0</v>
      </c>
    </row>
    <row r="73" spans="1:267">
      <c r="JC73" s="17"/>
      <c r="JD73" s="17"/>
      <c r="JF73" s="17">
        <f>COUNTIF(E73:DK73,"Present")+(COUNTIF(E73:DK73,"Half Day")*0.5)</f>
        <v>0</v>
      </c>
      <c r="JG73" s="17">
        <f>COUNTIF($E73:$DK73,"Absent")+(COUNTIF($E73:$DK73,"P(Half Day)")*0.5)</f>
        <v>0</v>
      </c>
    </row>
    <row r="74" spans="1:267">
      <c r="JC74" s="17"/>
      <c r="JD74" s="17"/>
      <c r="JF74" s="17">
        <f>COUNTIF(E74:DK74,"Present")+(COUNTIF(E74:DK74,"Half Day")*0.5)</f>
        <v>0</v>
      </c>
      <c r="JG74" s="17">
        <f>COUNTIF($E74:$DK74,"Absent")+(COUNTIF($E74:$DK74,"P(Half Day)")*0.5)</f>
        <v>0</v>
      </c>
    </row>
    <row r="75" spans="1:267">
      <c r="JC75" s="17"/>
      <c r="JD75" s="17"/>
      <c r="JF75" s="17">
        <f>COUNTIF(E75:DK75,"Present")+(COUNTIF(E75:DK75,"Half Day")*0.5)</f>
        <v>0</v>
      </c>
      <c r="JG75" s="17">
        <f>COUNTIF($E75:$DK75,"Absent")+(COUNTIF($E75:$DK75,"P(Half Day)")*0.5)</f>
        <v>0</v>
      </c>
    </row>
    <row r="76" spans="1:267">
      <c r="JC76" s="17"/>
      <c r="JD76" s="17"/>
      <c r="JF76" s="17">
        <f>COUNTIF(E76:DK76,"Present")+(COUNTIF(E76:DK76,"Half Day")*0.5)</f>
        <v>0</v>
      </c>
      <c r="JG76" s="17">
        <f>COUNTIF($E76:$DK76,"Absent")+(COUNTIF($E76:$DK76,"P(Half Day)")*0.5)</f>
        <v>0</v>
      </c>
    </row>
    <row r="77" spans="1:267">
      <c r="JC77" s="17"/>
      <c r="JD77" s="17"/>
      <c r="JF77" s="17">
        <f>COUNTIF(E77:DK77,"Present")+(COUNTIF(E77:DK77,"Half Day")*0.5)</f>
        <v>0</v>
      </c>
      <c r="JG77" s="17">
        <f>COUNTIF($E77:$DK77,"Absent")+(COUNTIF($E77:$DK77,"P(Half Day)")*0.5)</f>
        <v>0</v>
      </c>
    </row>
    <row r="78" spans="1:267">
      <c r="JC78" s="17"/>
      <c r="JD78" s="17"/>
      <c r="JF78" s="17">
        <f>COUNTIF(E78:DK78,"Present")+(COUNTIF(E78:DK78,"Half Day")*0.5)</f>
        <v>0</v>
      </c>
      <c r="JG78" s="17">
        <f>COUNTIF($E78:$DK78,"Absent")+(COUNTIF($E78:$DK78,"P(Half Day)")*0.5)</f>
        <v>0</v>
      </c>
    </row>
    <row r="79" spans="1:267">
      <c r="JC79" s="17"/>
      <c r="JD79" s="17"/>
      <c r="JF79" s="17">
        <f>COUNTIF(E79:DK79,"Present")+(COUNTIF(E79:DK79,"Half Day")*0.5)</f>
        <v>0</v>
      </c>
      <c r="JG79" s="17">
        <f>COUNTIF($E79:$DK79,"Absent")+(COUNTIF($E79:$DK79,"P(Half Day)")*0.5)</f>
        <v>0</v>
      </c>
    </row>
    <row r="80" spans="1:267">
      <c r="JC80" s="17"/>
      <c r="JD80" s="17"/>
      <c r="JF80" s="17">
        <f>COUNTIF(E80:DK80,"Present")+(COUNTIF(E80:DK80,"Half Day")*0.5)</f>
        <v>0</v>
      </c>
      <c r="JG80" s="17">
        <f>COUNTIF($E80:$DK80,"Absent")+(COUNTIF($E80:$DK80,"P(Half Day)")*0.5)</f>
        <v>0</v>
      </c>
    </row>
    <row r="81" spans="263:267">
      <c r="JC81" s="17"/>
      <c r="JD81" s="17"/>
      <c r="JF81" s="17">
        <f>COUNTIF(E81:DK81,"Present")+(COUNTIF(E81:DK81,"Half Day")*0.5)</f>
        <v>0</v>
      </c>
      <c r="JG81" s="17">
        <f>COUNTIF($E81:$DK81,"Absent")+(COUNTIF($E81:$DK81,"P(Half Day)")*0.5)</f>
        <v>0</v>
      </c>
    </row>
    <row r="82" spans="263:267">
      <c r="JC82" s="17"/>
      <c r="JD82" s="17"/>
      <c r="JF82" s="17">
        <f>COUNTIF(E82:DK82,"Present")+(COUNTIF(E82:DK82,"Half Day")*0.5)</f>
        <v>0</v>
      </c>
      <c r="JG82" s="17">
        <f>COUNTIF($E82:$DK82,"Absent")+(COUNTIF($E82:$DK82,"P(Half Day)")*0.5)</f>
        <v>0</v>
      </c>
    </row>
    <row r="83" spans="263:267">
      <c r="JC83" s="17"/>
      <c r="JD83" s="17"/>
      <c r="JF83" s="17">
        <f>COUNTIF(E83:DK83,"Present")+(COUNTIF(E83:DK83,"Half Day")*0.5)</f>
        <v>0</v>
      </c>
      <c r="JG83" s="17">
        <f>COUNTIF($E83:$DK83,"Absent")+(COUNTIF($E83:$DK83,"P(Half Day)")*0.5)</f>
        <v>0</v>
      </c>
    </row>
    <row r="84" spans="263:267">
      <c r="JC84" s="17"/>
      <c r="JD84" s="17"/>
      <c r="JF84" s="17">
        <f>COUNTIF(E84:DK84,"Present")+(COUNTIF(E84:DK84,"Half Day")*0.5)</f>
        <v>0</v>
      </c>
      <c r="JG84" s="17">
        <f>COUNTIF($E84:$DK84,"Absent")+(COUNTIF($E84:$DK84,"P(Half Day)")*0.5)</f>
        <v>0</v>
      </c>
    </row>
    <row r="85" spans="263:267">
      <c r="JC85" s="17"/>
      <c r="JD85" s="17"/>
      <c r="JF85" s="17">
        <f>COUNTIF(E85:DK85,"Present")+(COUNTIF(E85:DK85,"Half Day")*0.5)</f>
        <v>0</v>
      </c>
      <c r="JG85" s="17">
        <f>COUNTIF($E85:$DK85,"Absent")+(COUNTIF($E85:$DK85,"P(Half Day)")*0.5)</f>
        <v>0</v>
      </c>
    </row>
    <row r="86" spans="263:267">
      <c r="JC86" s="17"/>
      <c r="JD86" s="17"/>
      <c r="JF86" s="17">
        <f>COUNTIF(E86:DK86,"Present")+(COUNTIF(E86:DK86,"Half Day")*0.5)</f>
        <v>0</v>
      </c>
      <c r="JG86" s="17">
        <f>COUNTIF($E86:$DK86,"Absent")+(COUNTIF($E86:$DK86,"P(Half Day)")*0.5)</f>
        <v>0</v>
      </c>
    </row>
    <row r="87" spans="263:267">
      <c r="JC87" s="17"/>
      <c r="JD87" s="17"/>
      <c r="JF87" s="17">
        <f>COUNTIF(E87:DK87,"Present")+(COUNTIF(E87:DK87,"Half Day")*0.5)</f>
        <v>0</v>
      </c>
      <c r="JG87" s="17">
        <f>COUNTIF($E87:$DK87,"Absent")+(COUNTIF($E87:$DK87,"P(Half Day)")*0.5)</f>
        <v>0</v>
      </c>
    </row>
    <row r="88" spans="263:267">
      <c r="JC88" s="17"/>
      <c r="JD88" s="17"/>
      <c r="JF88" s="17">
        <f>COUNTIF(E88:DK88,"Present")+(COUNTIF(E88:DK88,"Half Day")*0.5)</f>
        <v>0</v>
      </c>
      <c r="JG88" s="17">
        <f>COUNTIF($E88:$DK88,"Absent")+(COUNTIF($E88:$DK88,"P(Half Day)")*0.5)</f>
        <v>0</v>
      </c>
    </row>
    <row r="89" spans="263:267">
      <c r="JC89" s="17"/>
      <c r="JD89" s="17"/>
      <c r="JF89" s="17">
        <f>COUNTIF(E89:DK89,"Present")+(COUNTIF(E89:DK89,"Half Day")*0.5)</f>
        <v>0</v>
      </c>
      <c r="JG89" s="17">
        <f>COUNTIF($E89:$DK89,"Absent")+(COUNTIF($E89:$DK89,"P(Half Day)")*0.5)</f>
        <v>0</v>
      </c>
    </row>
    <row r="90" spans="263:267">
      <c r="JC90" s="17"/>
      <c r="JD90" s="17"/>
      <c r="JF90" s="17">
        <f>COUNTIF(E90:DK90,"Present")+(COUNTIF(E90:DK90,"Half Day")*0.5)</f>
        <v>0</v>
      </c>
      <c r="JG90" s="17">
        <f>COUNTIF($E90:$DK90,"Absent")+(COUNTIF($E90:$DK90,"P(Half Day)")*0.5)</f>
        <v>0</v>
      </c>
    </row>
    <row r="91" spans="263:267">
      <c r="JC91" s="17"/>
      <c r="JD91" s="17"/>
      <c r="JF91" s="17">
        <f>COUNTIF(E91:DK91,"Present")+(COUNTIF(E91:DK91,"Half Day")*0.5)</f>
        <v>0</v>
      </c>
      <c r="JG91" s="17">
        <f>COUNTIF($E91:$DK91,"Absent")+(COUNTIF($E91:$DK91,"P(Half Day)")*0.5)</f>
        <v>0</v>
      </c>
    </row>
    <row r="92" spans="263:267">
      <c r="JC92" s="17"/>
      <c r="JD92" s="17"/>
      <c r="JF92" s="17">
        <f>COUNTIF(E92:DK92,"Present")+(COUNTIF(E92:DK92,"Half Day")*0.5)</f>
        <v>0</v>
      </c>
      <c r="JG92" s="17">
        <f>COUNTIF($E92:$DK92,"Absent")+(COUNTIF($E92:$DK92,"P(Half Day)")*0.5)</f>
        <v>0</v>
      </c>
    </row>
    <row r="93" spans="263:267">
      <c r="JC93" s="17"/>
      <c r="JD93" s="17"/>
      <c r="JF93" s="17">
        <f>COUNTIF(E93:DK93,"Present")+(COUNTIF(E93:DK93,"Half Day")*0.5)</f>
        <v>0</v>
      </c>
      <c r="JG93" s="17">
        <f>COUNTIF($E93:$DK93,"Absent")+(COUNTIF($E93:$DK93,"P(Half Day)")*0.5)</f>
        <v>0</v>
      </c>
    </row>
    <row r="94" spans="263:267">
      <c r="JC94" s="17"/>
      <c r="JD94" s="17"/>
      <c r="JF94" s="17">
        <f>COUNTIF(E94:DK94,"Present")+(COUNTIF(E94:DK94,"Half Day")*0.5)</f>
        <v>0</v>
      </c>
      <c r="JG94" s="17">
        <f>COUNTIF($E94:$DK94,"Absent")+(COUNTIF($E94:$DK94,"P(Half Day)")*0.5)</f>
        <v>0</v>
      </c>
    </row>
    <row r="95" spans="263:267">
      <c r="JC95" s="17"/>
      <c r="JD95" s="17"/>
      <c r="JF95" s="17">
        <f>COUNTIF(E95:DK95,"Present")+(COUNTIF(E95:DK95,"Half Day")*0.5)</f>
        <v>0</v>
      </c>
      <c r="JG95" s="17">
        <f>COUNTIF($E95:$DK95,"Absent")+(COUNTIF($E95:$DK95,"P(Half Day)")*0.5)</f>
        <v>0</v>
      </c>
    </row>
    <row r="96" spans="263:267">
      <c r="JC96" s="17"/>
      <c r="JD96" s="17"/>
      <c r="JF96" s="17">
        <f>COUNTIF(E96:DK96,"Present")+(COUNTIF(E96:DK96,"Half Day")*0.5)</f>
        <v>0</v>
      </c>
      <c r="JG96" s="17">
        <f>COUNTIF($E96:$DK96,"Absent")+(COUNTIF($E96:$DK96,"P(Half Day)")*0.5)</f>
        <v>0</v>
      </c>
    </row>
    <row r="97" spans="263:267">
      <c r="JC97" s="17"/>
      <c r="JD97" s="17"/>
      <c r="JF97" s="17">
        <f>COUNTIF(E97:DK97,"Present")+(COUNTIF(E97:DK97,"Half Day")*0.5)</f>
        <v>0</v>
      </c>
      <c r="JG97" s="17">
        <f>COUNTIF($E97:$DK97,"Absent")+(COUNTIF($E97:$DK97,"P(Half Day)")*0.5)</f>
        <v>0</v>
      </c>
    </row>
    <row r="98" spans="263:267">
      <c r="JC98" s="17"/>
      <c r="JD98" s="17"/>
      <c r="JF98" s="17">
        <f>COUNTIF(E98:DK98,"Present")+(COUNTIF(E98:DK98,"Half Day")*0.5)</f>
        <v>0</v>
      </c>
      <c r="JG98" s="17">
        <f>COUNTIF($E98:$DK98,"Absent")+(COUNTIF($E98:$DK98,"P(Half Day)")*0.5)</f>
        <v>0</v>
      </c>
    </row>
    <row r="99" spans="263:267">
      <c r="JC99" s="17"/>
      <c r="JD99" s="17"/>
      <c r="JF99" s="17">
        <f>COUNTIF(E99:DK99,"Present")+(COUNTIF(E99:DK99,"Half Day")*0.5)</f>
        <v>0</v>
      </c>
      <c r="JG99" s="17">
        <f>COUNTIF($E99:$DK99,"Absent")+(COUNTIF($E99:$DK99,"P(Half Day)")*0.5)</f>
        <v>0</v>
      </c>
    </row>
    <row r="100" spans="263:267">
      <c r="JC100" s="17"/>
      <c r="JD100" s="17"/>
      <c r="JF100" s="17">
        <f>COUNTIF(E100:DK100,"Present")+(COUNTIF(E100:DK100,"Half Day")*0.5)</f>
        <v>0</v>
      </c>
      <c r="JG100" s="17">
        <f>COUNTIF($E100:$DK100,"Absent")+(COUNTIF($E100:$DK100,"P(Half Day)")*0.5)</f>
        <v>0</v>
      </c>
    </row>
    <row r="101" spans="263:267">
      <c r="JC101" s="17"/>
      <c r="JD101" s="17"/>
      <c r="JF101" s="17">
        <f>COUNTIF(E101:DK101,"Present")+(COUNTIF(E101:DK101,"Half Day")*0.5)</f>
        <v>0</v>
      </c>
      <c r="JG101" s="17">
        <f>COUNTIF($E101:$DK101,"Absent")+(COUNTIF($E101:$DK101,"P(Half Day)")*0.5)</f>
        <v>0</v>
      </c>
    </row>
    <row r="102" spans="263:267">
      <c r="JC102" s="17"/>
      <c r="JD102" s="17"/>
      <c r="JF102" s="17">
        <f>COUNTIF(E102:DK102,"Present")+(COUNTIF(E102:DK102,"Half Day")*0.5)</f>
        <v>0</v>
      </c>
      <c r="JG102" s="17">
        <f>COUNTIF($E102:$DK102,"Absent")+(COUNTIF($E102:$DK102,"P(Half Day)")*0.5)</f>
        <v>0</v>
      </c>
    </row>
    <row r="103" spans="263:267">
      <c r="JC103" s="17"/>
      <c r="JD103" s="17"/>
      <c r="JF103" s="17">
        <f>COUNTIF(E103:DK103,"Present")+(COUNTIF(E103:DK103,"Half Day")*0.5)</f>
        <v>0</v>
      </c>
      <c r="JG103" s="17">
        <f>COUNTIF($E103:$DK103,"Absent")+(COUNTIF($E103:$DK103,"P(Half Day)")*0.5)</f>
        <v>0</v>
      </c>
    </row>
    <row r="104" spans="263:267">
      <c r="JC104" s="17"/>
      <c r="JD104" s="17"/>
      <c r="JF104" s="17">
        <f>COUNTIF(E104:DK104,"Present")+(COUNTIF(E104:DK104,"Half Day")*0.5)</f>
        <v>0</v>
      </c>
      <c r="JG104" s="17">
        <f>COUNTIF($E104:$DK104,"Absent")+(COUNTIF($E104:$DK104,"P(Half Day)")*0.5)</f>
        <v>0</v>
      </c>
    </row>
    <row r="105" spans="263:267">
      <c r="JC105" s="17"/>
      <c r="JD105" s="17"/>
      <c r="JF105" s="17">
        <f>COUNTIF(E105:DK105,"Present")+(COUNTIF(E105:DK105,"Half Day")*0.5)</f>
        <v>0</v>
      </c>
      <c r="JG105" s="17">
        <f>COUNTIF($E105:$DK105,"Absent")+(COUNTIF($E105:$DK105,"P(Half Day)")*0.5)</f>
        <v>0</v>
      </c>
    </row>
    <row r="106" spans="263:267">
      <c r="JC106" s="17"/>
      <c r="JD106" s="17"/>
      <c r="JF106" s="17">
        <f>COUNTIF(E106:DK106,"Present")+(COUNTIF(E106:DK106,"Half Day")*0.5)</f>
        <v>0</v>
      </c>
      <c r="JG106" s="17">
        <f>COUNTIF($E106:$DK106,"Absent")+(COUNTIF($E106:$DK106,"P(Half Day)")*0.5)</f>
        <v>0</v>
      </c>
    </row>
    <row r="107" spans="263:267">
      <c r="JC107" s="17"/>
      <c r="JD107" s="17"/>
      <c r="JF107" s="17">
        <f>COUNTIF(E107:DK107,"Present")+(COUNTIF(E107:DK107,"Half Day")*0.5)</f>
        <v>0</v>
      </c>
      <c r="JG107" s="17">
        <f>COUNTIF($E107:$DK107,"Absent")+(COUNTIF($E107:$DK107,"P(Half Day)")*0.5)</f>
        <v>0</v>
      </c>
    </row>
    <row r="108" spans="263:267">
      <c r="JC108" s="17"/>
      <c r="JD108" s="17"/>
      <c r="JF108" s="17">
        <f>COUNTIF(E108:DK108,"Present")+(COUNTIF(E108:DK108,"Half Day")*0.5)</f>
        <v>0</v>
      </c>
      <c r="JG108" s="17">
        <f>COUNTIF($E108:$DK108,"Absent")+(COUNTIF($E108:$DK108,"P(Half Day)")*0.5)</f>
        <v>0</v>
      </c>
    </row>
    <row r="109" spans="263:267">
      <c r="JC109" s="17"/>
      <c r="JD109" s="17"/>
      <c r="JF109" s="17">
        <f>COUNTIF(E109:DK109,"Present")+(COUNTIF(E109:DK109,"Half Day")*0.5)</f>
        <v>0</v>
      </c>
      <c r="JG109" s="17">
        <f>COUNTIF($E109:$DK109,"Absent")+(COUNTIF($E109:$DK109,"P(Half Day)")*0.5)</f>
        <v>0</v>
      </c>
    </row>
    <row r="110" spans="263:267">
      <c r="JC110" s="17"/>
      <c r="JD110" s="17"/>
      <c r="JF110" s="17">
        <f>COUNTIF(E110:DK110,"Present")+(COUNTIF(E110:DK110,"Half Day")*0.5)</f>
        <v>0</v>
      </c>
      <c r="JG110" s="17">
        <f>COUNTIF($E110:$DK110,"Absent")+(COUNTIF($E110:$DK110,"P(Half Day)")*0.5)</f>
        <v>0</v>
      </c>
    </row>
    <row r="111" spans="263:267">
      <c r="JC111" s="17"/>
      <c r="JD111" s="17"/>
      <c r="JF111" s="17">
        <f>COUNTIF(E111:DK111,"Present")+(COUNTIF(E111:DK111,"Half Day")*0.5)</f>
        <v>0</v>
      </c>
      <c r="JG111" s="17">
        <f>COUNTIF($E111:$DK111,"Absent")+(COUNTIF($E111:$DK111,"P(Half Day)")*0.5)</f>
        <v>0</v>
      </c>
    </row>
    <row r="112" spans="263:267">
      <c r="JC112" s="17"/>
      <c r="JD112" s="17"/>
      <c r="JF112" s="17">
        <f>COUNTIF(E112:DK112,"Present")+(COUNTIF(E112:DK112,"Half Day")*0.5)</f>
        <v>0</v>
      </c>
      <c r="JG112" s="17">
        <f>COUNTIF($E112:$DK112,"Absent")+(COUNTIF($E112:$DK112,"P(Half Day)")*0.5)</f>
        <v>0</v>
      </c>
    </row>
    <row r="113" spans="263:267">
      <c r="JC113" s="17"/>
      <c r="JD113" s="17"/>
      <c r="JF113" s="17">
        <f>COUNTIF(E113:DK113,"Present")+(COUNTIF(E113:DK113,"Half Day")*0.5)</f>
        <v>0</v>
      </c>
      <c r="JG113" s="17">
        <f>COUNTIF($E113:$DK113,"Absent")+(COUNTIF($E113:$DK113,"P(Half Day)")*0.5)</f>
        <v>0</v>
      </c>
    </row>
    <row r="114" spans="263:267">
      <c r="JC114" s="17"/>
      <c r="JD114" s="17"/>
      <c r="JF114" s="17">
        <f>COUNTIF(E114:DK114,"Present")+(COUNTIF(E114:DK114,"Half Day")*0.5)</f>
        <v>0</v>
      </c>
      <c r="JG114" s="17">
        <f>COUNTIF($E114:$DK114,"Absent")+(COUNTIF($E114:$DK114,"P(Half Day)")*0.5)</f>
        <v>0</v>
      </c>
    </row>
    <row r="115" spans="263:267">
      <c r="JC115" s="17"/>
      <c r="JD115" s="17"/>
      <c r="JF115" s="17">
        <f>COUNTIF(E115:DK115,"Present")+(COUNTIF(E115:DK115,"Half Day")*0.5)</f>
        <v>0</v>
      </c>
      <c r="JG115" s="17">
        <f>COUNTIF($E115:$DK115,"Absent")+(COUNTIF($E115:$DK115,"P(Half Day)")*0.5)</f>
        <v>0</v>
      </c>
    </row>
    <row r="116" spans="263:267">
      <c r="JC116" s="17"/>
      <c r="JD116" s="17"/>
      <c r="JF116" s="17">
        <f>COUNTIF(E116:DK116,"Present")+(COUNTIF(E116:DK116,"Half Day")*0.5)</f>
        <v>0</v>
      </c>
      <c r="JG116" s="17">
        <f>COUNTIF($E116:$DK116,"Absent")+(COUNTIF($E116:$DK116,"P(Half Day)")*0.5)</f>
        <v>0</v>
      </c>
    </row>
    <row r="117" spans="263:267">
      <c r="JC117" s="17"/>
      <c r="JD117" s="17"/>
      <c r="JF117" s="17">
        <f>COUNTIF(E117:DK117,"Present")+(COUNTIF(E117:DK117,"Half Day")*0.5)</f>
        <v>0</v>
      </c>
      <c r="JG117" s="17">
        <f>COUNTIF($E117:$DK117,"Absent")+(COUNTIF($E117:$DK117,"P(Half Day)")*0.5)</f>
        <v>0</v>
      </c>
    </row>
    <row r="118" spans="263:267">
      <c r="JC118" s="17"/>
      <c r="JD118" s="17"/>
      <c r="JF118" s="17">
        <f>COUNTIF(E118:DK118,"Present")+(COUNTIF(E118:DK118,"Half Day")*0.5)</f>
        <v>0</v>
      </c>
      <c r="JG118" s="17">
        <f>COUNTIF($E118:$DK118,"Absent")+(COUNTIF($E118:$DK118,"P(Half Day)")*0.5)</f>
        <v>0</v>
      </c>
    </row>
    <row r="119" spans="263:267">
      <c r="JC119" s="17"/>
      <c r="JD119" s="17"/>
      <c r="JF119" s="17">
        <f>COUNTIF(E119:DK119,"Present")+(COUNTIF(E119:DK119,"Half Day")*0.5)</f>
        <v>0</v>
      </c>
      <c r="JG119" s="17">
        <f>COUNTIF($E119:$DK119,"Absent")+(COUNTIF($E119:$DK119,"P(Half Day)")*0.5)</f>
        <v>0</v>
      </c>
    </row>
    <row r="120" spans="263:267">
      <c r="JC120" s="17"/>
      <c r="JD120" s="17"/>
      <c r="JF120" s="17">
        <f>COUNTIF(E120:DK120,"Present")+(COUNTIF(E120:DK120,"Half Day")*0.5)</f>
        <v>0</v>
      </c>
      <c r="JG120" s="17">
        <f>COUNTIF($E120:$DK120,"Absent")+(COUNTIF($E120:$DK120,"P(Half Day)")*0.5)</f>
        <v>0</v>
      </c>
    </row>
    <row r="121" spans="263:267">
      <c r="JC121" s="17"/>
      <c r="JD121" s="17"/>
      <c r="JF121" s="17">
        <f>COUNTIF(E121:DK121,"Present")+(COUNTIF(E121:DK121,"Half Day")*0.5)</f>
        <v>0</v>
      </c>
      <c r="JG121" s="17">
        <f>COUNTIF($E121:$DK121,"Absent")+(COUNTIF($E121:$DK121,"P(Half Day)")*0.5)</f>
        <v>0</v>
      </c>
    </row>
    <row r="122" spans="263:267">
      <c r="JC122" s="17"/>
      <c r="JD122" s="17"/>
      <c r="JF122" s="17">
        <f>COUNTIF(E122:DK122,"Present")+(COUNTIF(E122:DK122,"Half Day")*0.5)</f>
        <v>0</v>
      </c>
      <c r="JG122" s="17">
        <f>COUNTIF($E122:$DK122,"Absent")+(COUNTIF($E122:$DK122,"P(Half Day)")*0.5)</f>
        <v>0</v>
      </c>
    </row>
    <row r="123" spans="263:267">
      <c r="JC123" s="17"/>
      <c r="JD123" s="17"/>
      <c r="JF123" s="17">
        <f>COUNTIF(E123:DK123,"Present")+(COUNTIF(E123:DK123,"Half Day")*0.5)</f>
        <v>0</v>
      </c>
      <c r="JG123" s="17">
        <f>COUNTIF($E123:$DK123,"Absent")+(COUNTIF($E123:$DK123,"P(Half Day)")*0.5)</f>
        <v>0</v>
      </c>
    </row>
    <row r="124" spans="263:267">
      <c r="JC124" s="17"/>
      <c r="JD124" s="17"/>
      <c r="JF124" s="17">
        <f>COUNTIF(E124:DK124,"Present")+(COUNTIF(E124:DK124,"Half Day")*0.5)</f>
        <v>0</v>
      </c>
      <c r="JG124" s="17">
        <f>COUNTIF($E124:$DK124,"Absent")+(COUNTIF($E124:$DK124,"P(Half Day)")*0.5)</f>
        <v>0</v>
      </c>
    </row>
    <row r="125" spans="263:267">
      <c r="JC125" s="17"/>
      <c r="JD125" s="17"/>
      <c r="JF125" s="17">
        <f>COUNTIF(E125:DK125,"Present")+(COUNTIF(E125:DK125,"Half Day")*0.5)</f>
        <v>0</v>
      </c>
      <c r="JG125" s="17">
        <f>COUNTIF($E125:$DK125,"Absent")+(COUNTIF($E125:$DK125,"P(Half Day)")*0.5)</f>
        <v>0</v>
      </c>
    </row>
    <row r="126" spans="263:267">
      <c r="JC126" s="17"/>
      <c r="JD126" s="17"/>
      <c r="JF126" s="17">
        <f>COUNTIF(E126:DK126,"Present")+(COUNTIF(E126:DK126,"Half Day")*0.5)</f>
        <v>0</v>
      </c>
      <c r="JG126" s="17">
        <f>COUNTIF($E126:$DK126,"Absent")+(COUNTIF($E126:$DK126,"P(Half Day)")*0.5)</f>
        <v>0</v>
      </c>
    </row>
    <row r="127" spans="263:267">
      <c r="JC127" s="17"/>
      <c r="JD127" s="17"/>
      <c r="JF127" s="17">
        <f>COUNTIF(E127:DK127,"Present")+(COUNTIF(E127:DK127,"Half Day")*0.5)</f>
        <v>0</v>
      </c>
      <c r="JG127" s="17">
        <f>COUNTIF($E127:$DK127,"Absent")+(COUNTIF($E127:$DK127,"P(Half Day)")*0.5)</f>
        <v>0</v>
      </c>
    </row>
    <row r="128" spans="263:267">
      <c r="JC128" s="17"/>
      <c r="JD128" s="17"/>
      <c r="JF128" s="17">
        <f>COUNTIF(E128:DK128,"Present")+(COUNTIF(E128:DK128,"Half Day")*0.5)</f>
        <v>0</v>
      </c>
      <c r="JG128" s="17">
        <f>COUNTIF($E128:$DK128,"Absent")+(COUNTIF($E128:$DK128,"P(Half Day)")*0.5)</f>
        <v>0</v>
      </c>
    </row>
    <row r="129" spans="263:267">
      <c r="JC129" s="17"/>
      <c r="JD129" s="17"/>
      <c r="JF129" s="17">
        <f>COUNTIF(E129:DK129,"Present")+(COUNTIF(E129:DK129,"Half Day")*0.5)</f>
        <v>0</v>
      </c>
      <c r="JG129" s="17">
        <f>COUNTIF($E129:$DK129,"Absent")+(COUNTIF($E129:$DK129,"P(Half Day)")*0.5)</f>
        <v>0</v>
      </c>
    </row>
    <row r="130" spans="263:267">
      <c r="JC130" s="17"/>
      <c r="JD130" s="17"/>
      <c r="JF130" s="17">
        <f>COUNTIF(E130:DK130,"Present")+(COUNTIF(E130:DK130,"Half Day")*0.5)</f>
        <v>0</v>
      </c>
      <c r="JG130" s="17">
        <f>COUNTIF($E130:$DK130,"Absent")+(COUNTIF($E130:$DK130,"P(Half Day)")*0.5)</f>
        <v>0</v>
      </c>
    </row>
    <row r="131" spans="263:267">
      <c r="JC131" s="17"/>
      <c r="JD131" s="17"/>
      <c r="JF131" s="17">
        <f>COUNTIF(E131:DK131,"Present")+(COUNTIF(E131:DK131,"Half Day")*0.5)</f>
        <v>0</v>
      </c>
      <c r="JG131" s="17">
        <f>COUNTIF($E131:$DK131,"Absent")+(COUNTIF($E131:$DK131,"P(Half Day)")*0.5)</f>
        <v>0</v>
      </c>
    </row>
    <row r="132" spans="263:267">
      <c r="JC132" s="17"/>
      <c r="JD132" s="17"/>
      <c r="JF132" s="17">
        <f>COUNTIF(E132:DK132,"Present")+(COUNTIF(E132:DK132,"Half Day")*0.5)</f>
        <v>0</v>
      </c>
      <c r="JG132" s="17">
        <f>COUNTIF($E132:$DK132,"Absent")+(COUNTIF($E132:$DK132,"P(Half Day)")*0.5)</f>
        <v>0</v>
      </c>
    </row>
    <row r="133" spans="263:267">
      <c r="JC133" s="17"/>
      <c r="JD133" s="17"/>
      <c r="JF133" s="17">
        <f>COUNTIF(E133:DK133,"Present")+(COUNTIF(E133:DK133,"Half Day")*0.5)</f>
        <v>0</v>
      </c>
      <c r="JG133" s="17">
        <f>COUNTIF($E133:$DK133,"Absent")+(COUNTIF($E133:$DK133,"P(Half Day)")*0.5)</f>
        <v>0</v>
      </c>
    </row>
    <row r="134" spans="263:267">
      <c r="JC134" s="17"/>
      <c r="JD134" s="17"/>
      <c r="JF134" s="17">
        <f>COUNTIF(E134:DK134,"Present")+(COUNTIF(E134:DK134,"Half Day")*0.5)</f>
        <v>0</v>
      </c>
      <c r="JG134" s="17">
        <f>COUNTIF($E134:$DK134,"Absent")+(COUNTIF($E134:$DK134,"P(Half Day)")*0.5)</f>
        <v>0</v>
      </c>
    </row>
    <row r="135" spans="263:267">
      <c r="JC135" s="17"/>
      <c r="JD135" s="17"/>
      <c r="JF135" s="17">
        <f>COUNTIF(E135:DK135,"Present")+(COUNTIF(E135:DK135,"Half Day")*0.5)</f>
        <v>0</v>
      </c>
      <c r="JG135" s="17">
        <f>COUNTIF($E135:$DK135,"Absent")+(COUNTIF($E135:$DK135,"P(Half Day)")*0.5)</f>
        <v>0</v>
      </c>
    </row>
    <row r="136" spans="263:267">
      <c r="JC136" s="17"/>
      <c r="JD136" s="17"/>
      <c r="JF136" s="17">
        <f>COUNTIF(E136:DK136,"Present")+(COUNTIF(E136:DK136,"Half Day")*0.5)</f>
        <v>0</v>
      </c>
      <c r="JG136" s="17">
        <f>COUNTIF($E136:$DK136,"Absent")+(COUNTIF($E136:$DK136,"P(Half Day)")*0.5)</f>
        <v>0</v>
      </c>
    </row>
    <row r="137" spans="263:267">
      <c r="JC137" s="17"/>
      <c r="JD137" s="17"/>
      <c r="JF137" s="17">
        <f>COUNTIF(E137:DK137,"Present")+(COUNTIF(E137:DK137,"Half Day")*0.5)</f>
        <v>0</v>
      </c>
      <c r="JG137" s="17">
        <f>COUNTIF($E137:$DK137,"Absent")+(COUNTIF($E137:$DK137,"P(Half Day)")*0.5)</f>
        <v>0</v>
      </c>
    </row>
    <row r="138" spans="263:267">
      <c r="JC138" s="17"/>
      <c r="JD138" s="17"/>
      <c r="JF138" s="17">
        <f>COUNTIF(E138:DK138,"Present")+(COUNTIF(E138:DK138,"Half Day")*0.5)</f>
        <v>0</v>
      </c>
      <c r="JG138" s="17">
        <f>COUNTIF($E138:$DK138,"Absent")+(COUNTIF($E138:$DK138,"P(Half Day)")*0.5)</f>
        <v>0</v>
      </c>
    </row>
    <row r="139" spans="263:267">
      <c r="JC139" s="17"/>
      <c r="JD139" s="17"/>
      <c r="JF139" s="17">
        <f>COUNTIF(E139:DK139,"Present")+(COUNTIF(E139:DK139,"Half Day")*0.5)</f>
        <v>0</v>
      </c>
      <c r="JG139" s="17">
        <f>COUNTIF($E139:$DK139,"Absent")+(COUNTIF($E139:$DK139,"P(Half Day)")*0.5)</f>
        <v>0</v>
      </c>
    </row>
    <row r="140" spans="263:267">
      <c r="JC140" s="17"/>
      <c r="JD140" s="17"/>
      <c r="JF140" s="17">
        <f>COUNTIF(E140:DK140,"Present")+(COUNTIF(E140:DK140,"Half Day")*0.5)</f>
        <v>0</v>
      </c>
      <c r="JG140" s="17">
        <f>COUNTIF($E140:$DK140,"Absent")+(COUNTIF($E140:$DK140,"P(Half Day)")*0.5)</f>
        <v>0</v>
      </c>
    </row>
    <row r="141" spans="263:267">
      <c r="JC141" s="17"/>
      <c r="JD141" s="17"/>
      <c r="JF141" s="17">
        <f>COUNTIF(E141:DK141,"Present")+(COUNTIF(E141:DK141,"Half Day")*0.5)</f>
        <v>0</v>
      </c>
      <c r="JG141" s="17">
        <f>COUNTIF($E141:$DK141,"Absent")+(COUNTIF($E141:$DK141,"P(Half Day)")*0.5)</f>
        <v>0</v>
      </c>
    </row>
    <row r="142" spans="263:267">
      <c r="JC142" s="17"/>
      <c r="JD142" s="17"/>
      <c r="JF142" s="17">
        <f>COUNTIF(E142:DK142,"Present")+(COUNTIF(E142:DK142,"Half Day")*0.5)</f>
        <v>0</v>
      </c>
      <c r="JG142" s="17">
        <f>COUNTIF($E142:$DK142,"Absent")+(COUNTIF($E142:$DK142,"P(Half Day)")*0.5)</f>
        <v>0</v>
      </c>
    </row>
    <row r="143" spans="263:267">
      <c r="JC143" s="17"/>
      <c r="JD143" s="17"/>
      <c r="JF143" s="17">
        <f>COUNTIF(E143:DK143,"Present")+(COUNTIF(E143:DK143,"Half Day")*0.5)</f>
        <v>0</v>
      </c>
      <c r="JG143" s="17">
        <f>COUNTIF($E143:$DK143,"Absent")+(COUNTIF($E143:$DK143,"P(Half Day)")*0.5)</f>
        <v>0</v>
      </c>
    </row>
    <row r="144" spans="263:267">
      <c r="JC144" s="17"/>
      <c r="JD144" s="17"/>
      <c r="JF144" s="17">
        <f>COUNTIF(E144:DK144,"Present")+(COUNTIF(E144:DK144,"Half Day")*0.5)</f>
        <v>0</v>
      </c>
      <c r="JG144" s="17">
        <f>COUNTIF($E144:$DK144,"Absent")+(COUNTIF($E144:$DK144,"P(Half Day)")*0.5)</f>
        <v>0</v>
      </c>
    </row>
    <row r="145" spans="263:267">
      <c r="JC145" s="17"/>
      <c r="JD145" s="17"/>
      <c r="JF145" s="17">
        <f>COUNTIF(E145:DK145,"Present")+(COUNTIF(E145:DK145,"Half Day")*0.5)</f>
        <v>0</v>
      </c>
      <c r="JG145" s="17">
        <f>COUNTIF($E145:$DK145,"Absent")+(COUNTIF($E145:$DK145,"P(Half Day)")*0.5)</f>
        <v>0</v>
      </c>
    </row>
    <row r="146" spans="263:267">
      <c r="JC146" s="17"/>
      <c r="JD146" s="17"/>
      <c r="JF146" s="17">
        <f>COUNTIF(E146:DK146,"Present")+(COUNTIF(E146:DK146,"Half Day")*0.5)</f>
        <v>0</v>
      </c>
      <c r="JG146" s="17">
        <f>COUNTIF($E146:$DK146,"Absent")+(COUNTIF($E146:$DK146,"P(Half Day)")*0.5)</f>
        <v>0</v>
      </c>
    </row>
    <row r="147" spans="263:267">
      <c r="JC147" s="17"/>
      <c r="JD147" s="17"/>
      <c r="JF147" s="17">
        <f>COUNTIF(E147:DK147,"Present")+(COUNTIF(E147:DK147,"Half Day")*0.5)</f>
        <v>0</v>
      </c>
      <c r="JG147" s="17">
        <f>COUNTIF($E147:$DK147,"Absent")+(COUNTIF($E147:$DK147,"P(Half Day)")*0.5)</f>
        <v>0</v>
      </c>
    </row>
    <row r="148" spans="263:267">
      <c r="JC148" s="17"/>
      <c r="JD148" s="17"/>
      <c r="JF148" s="17">
        <f>COUNTIF(E148:DK148,"Present")+(COUNTIF(E148:DK148,"Half Day")*0.5)</f>
        <v>0</v>
      </c>
      <c r="JG148" s="17">
        <f>COUNTIF($E148:$DK148,"Absent")+(COUNTIF($E148:$DK148,"P(Half Day)")*0.5)</f>
        <v>0</v>
      </c>
    </row>
    <row r="149" spans="263:267">
      <c r="JC149" s="17"/>
      <c r="JD149" s="17"/>
      <c r="JF149" s="17">
        <f>COUNTIF(E149:DK149,"Present")+(COUNTIF(E149:DK149,"Half Day")*0.5)</f>
        <v>0</v>
      </c>
      <c r="JG149" s="17">
        <f>COUNTIF($E149:$DK149,"Absent")+(COUNTIF($E149:$DK149,"P(Half Day)")*0.5)</f>
        <v>0</v>
      </c>
    </row>
    <row r="150" spans="263:267">
      <c r="JC150" s="17"/>
      <c r="JD150" s="17"/>
      <c r="JF150" s="17">
        <f>COUNTIF(E150:DK150,"Present")+(COUNTIF(E150:DK150,"Half Day")*0.5)</f>
        <v>0</v>
      </c>
      <c r="JG150" s="17">
        <f>COUNTIF($E150:$DK150,"Absent")+(COUNTIF($E150:$DK150,"P(Half Day)")*0.5)</f>
        <v>0</v>
      </c>
    </row>
    <row r="151" spans="263:267">
      <c r="JC151" s="17"/>
      <c r="JD151" s="17"/>
      <c r="JF151" s="17">
        <f>COUNTIF(E151:DK151,"Present")+(COUNTIF(E151:DK151,"Half Day")*0.5)</f>
        <v>0</v>
      </c>
      <c r="JG151" s="17">
        <f>COUNTIF($E151:$DK151,"Absent")+(COUNTIF($E151:$DK151,"P(Half Day)")*0.5)</f>
        <v>0</v>
      </c>
    </row>
    <row r="152" spans="263:267">
      <c r="JC152" s="17"/>
      <c r="JD152" s="17"/>
      <c r="JF152" s="17">
        <f>COUNTIF(E152:DK152,"Present")+(COUNTIF(E152:DK152,"Half Day")*0.5)</f>
        <v>0</v>
      </c>
      <c r="JG152" s="17">
        <f>COUNTIF($E152:$DK152,"Absent")+(COUNTIF($E152:$DK152,"P(Half Day)")*0.5)</f>
        <v>0</v>
      </c>
    </row>
    <row r="153" spans="263:267">
      <c r="JC153" s="17"/>
      <c r="JD153" s="17"/>
      <c r="JF153" s="17">
        <f>COUNTIF(E153:DK153,"Present")+(COUNTIF(E153:DK153,"Half Day")*0.5)</f>
        <v>0</v>
      </c>
      <c r="JG153" s="17">
        <f>COUNTIF($E153:$DK153,"Absent")+(COUNTIF($E153:$DK153,"P(Half Day)")*0.5)</f>
        <v>0</v>
      </c>
    </row>
    <row r="154" spans="263:267">
      <c r="JC154" s="17"/>
      <c r="JD154" s="17"/>
      <c r="JF154" s="17">
        <f>COUNTIF(E154:DK154,"Present")+(COUNTIF(E154:DK154,"Half Day")*0.5)</f>
        <v>0</v>
      </c>
      <c r="JG154" s="17">
        <f>COUNTIF($E154:$DK154,"Absent")+(COUNTIF($E154:$DK154,"P(Half Day)")*0.5)</f>
        <v>0</v>
      </c>
    </row>
    <row r="155" spans="263:267">
      <c r="JC155" s="17"/>
      <c r="JD155" s="17"/>
      <c r="JF155" s="17">
        <f>COUNTIF(E155:DK155,"Present")+(COUNTIF(E155:DK155,"Half Day")*0.5)</f>
        <v>0</v>
      </c>
      <c r="JG155" s="17">
        <f>COUNTIF($E155:$DK155,"Absent")+(COUNTIF($E155:$DK155,"P(Half Day)")*0.5)</f>
        <v>0</v>
      </c>
    </row>
    <row r="156" spans="263:267">
      <c r="JC156" s="17"/>
      <c r="JD156" s="17"/>
      <c r="JF156" s="17">
        <f>COUNTIF(E156:DK156,"Present")+(COUNTIF(E156:DK156,"Half Day")*0.5)</f>
        <v>0</v>
      </c>
      <c r="JG156" s="17">
        <f>COUNTIF($E156:$DK156,"Absent")+(COUNTIF($E156:$DK156,"P(Half Day)")*0.5)</f>
        <v>0</v>
      </c>
    </row>
    <row r="157" spans="263:267">
      <c r="JC157" s="17"/>
      <c r="JD157" s="17"/>
      <c r="JF157" s="17">
        <f>COUNTIF(E157:DK157,"Present")+(COUNTIF(E157:DK157,"Half Day")*0.5)</f>
        <v>0</v>
      </c>
      <c r="JG157" s="17">
        <f>COUNTIF($E157:$DK157,"Absent")+(COUNTIF($E157:$DK157,"P(Half Day)")*0.5)</f>
        <v>0</v>
      </c>
    </row>
    <row r="158" spans="263:267">
      <c r="JC158" s="17"/>
      <c r="JD158" s="17"/>
      <c r="JF158" s="17">
        <f>COUNTIF(E158:DK158,"Present")+(COUNTIF(E158:DK158,"Half Day")*0.5)</f>
        <v>0</v>
      </c>
      <c r="JG158" s="17">
        <f>COUNTIF($E158:$DK158,"Absent")+(COUNTIF($E158:$DK158,"P(Half Day)")*0.5)</f>
        <v>0</v>
      </c>
    </row>
    <row r="159" spans="263:267">
      <c r="JC159" s="17"/>
      <c r="JD159" s="17"/>
      <c r="JF159" s="17">
        <f>COUNTIF(E159:DK159,"Present")+(COUNTIF(E159:DK159,"Half Day")*0.5)</f>
        <v>0</v>
      </c>
      <c r="JG159" s="17">
        <f>COUNTIF($E159:$DK159,"Absent")+(COUNTIF($E159:$DK159,"P(Half Day)")*0.5)</f>
        <v>0</v>
      </c>
    </row>
    <row r="160" spans="263:267">
      <c r="JC160" s="17"/>
      <c r="JD160" s="17"/>
      <c r="JF160" s="17">
        <f>COUNTIF(E160:DK160,"Present")+(COUNTIF(E160:DK160,"Half Day")*0.5)</f>
        <v>0</v>
      </c>
      <c r="JG160" s="17">
        <f>COUNTIF($E160:$DK160,"Absent")+(COUNTIF($E160:$DK160,"P(Half Day)")*0.5)</f>
        <v>0</v>
      </c>
    </row>
    <row r="161" spans="263:267">
      <c r="JC161" s="17"/>
      <c r="JD161" s="17"/>
      <c r="JF161" s="17">
        <f>COUNTIF(E161:DK161,"Present")+(COUNTIF(E161:DK161,"Half Day")*0.5)</f>
        <v>0</v>
      </c>
      <c r="JG161" s="17">
        <f>COUNTIF($E161:$DK161,"Absent")+(COUNTIF($E161:$DK161,"P(Half Day)")*0.5)</f>
        <v>0</v>
      </c>
    </row>
    <row r="162" spans="263:267">
      <c r="JC162" s="17"/>
      <c r="JD162" s="17"/>
      <c r="JF162" s="17">
        <f>COUNTIF(E162:DK162,"Present")+(COUNTIF(E162:DK162,"Half Day")*0.5)</f>
        <v>0</v>
      </c>
      <c r="JG162" s="17">
        <f>COUNTIF($E162:$DK162,"Absent")+(COUNTIF($E162:$DK162,"P(Half Day)")*0.5)</f>
        <v>0</v>
      </c>
    </row>
    <row r="163" spans="263:267">
      <c r="JC163" s="17"/>
      <c r="JD163" s="17"/>
      <c r="JF163" s="17">
        <f>COUNTIF(E163:DK163,"Present")+(COUNTIF(E163:DK163,"Half Day")*0.5)</f>
        <v>0</v>
      </c>
      <c r="JG163" s="17">
        <f>COUNTIF($E163:$DK163,"Absent")+(COUNTIF($E163:$DK163,"P(Half Day)")*0.5)</f>
        <v>0</v>
      </c>
    </row>
    <row r="164" spans="263:267">
      <c r="JC164" s="17"/>
      <c r="JD164" s="17"/>
      <c r="JF164" s="17">
        <f>COUNTIF(E164:DK164,"Present")+(COUNTIF(E164:DK164,"Half Day")*0.5)</f>
        <v>0</v>
      </c>
      <c r="JG164" s="17">
        <f>COUNTIF($E164:$DK164,"Absent")+(COUNTIF($E164:$DK164,"P(Half Day)")*0.5)</f>
        <v>0</v>
      </c>
    </row>
    <row r="165" spans="263:267">
      <c r="JC165" s="17"/>
      <c r="JD165" s="17"/>
      <c r="JF165" s="17">
        <f>COUNTIF(E165:DK165,"Present")+(COUNTIF(E165:DK165,"Half Day")*0.5)</f>
        <v>0</v>
      </c>
      <c r="JG165" s="17">
        <f>COUNTIF($E165:$DK165,"Absent")+(COUNTIF($E165:$DK165,"P(Half Day)")*0.5)</f>
        <v>0</v>
      </c>
    </row>
    <row r="166" spans="263:267">
      <c r="JC166" s="17"/>
      <c r="JD166" s="17"/>
      <c r="JF166" s="17">
        <f>COUNTIF(E166:DK166,"Present")+(COUNTIF(E166:DK166,"Half Day")*0.5)</f>
        <v>0</v>
      </c>
      <c r="JG166" s="17">
        <f>COUNTIF($E166:$DK166,"Absent")+(COUNTIF($E166:$DK166,"P(Half Day)")*0.5)</f>
        <v>0</v>
      </c>
    </row>
    <row r="167" spans="263:267">
      <c r="JC167" s="17"/>
      <c r="JD167" s="17"/>
      <c r="JF167" s="17">
        <f>COUNTIF(E167:DK167,"Present")+(COUNTIF(E167:DK167,"Half Day")*0.5)</f>
        <v>0</v>
      </c>
      <c r="JG167" s="17">
        <f>COUNTIF($E167:$DK167,"Absent")+(COUNTIF($E167:$DK167,"P(Half Day)")*0.5)</f>
        <v>0</v>
      </c>
    </row>
    <row r="168" spans="263:267">
      <c r="JC168" s="17"/>
      <c r="JD168" s="17"/>
      <c r="JF168" s="17">
        <f>COUNTIF(E168:DK168,"Present")+(COUNTIF(E168:DK168,"Half Day")*0.5)</f>
        <v>0</v>
      </c>
      <c r="JG168" s="17">
        <f>COUNTIF($E168:$DK168,"Absent")+(COUNTIF($E168:$DK168,"P(Half Day)")*0.5)</f>
        <v>0</v>
      </c>
    </row>
    <row r="169" spans="263:267">
      <c r="JC169" s="17"/>
      <c r="JD169" s="17"/>
      <c r="JF169" s="17">
        <f>COUNTIF(E169:DK169,"Present")+(COUNTIF(E169:DK169,"Half Day")*0.5)</f>
        <v>0</v>
      </c>
      <c r="JG169" s="17">
        <f>COUNTIF($E169:$DK169,"Absent")+(COUNTIF($E169:$DK169,"P(Half Day)")*0.5)</f>
        <v>0</v>
      </c>
    </row>
    <row r="170" spans="263:267">
      <c r="JC170" s="17"/>
      <c r="JD170" s="17"/>
      <c r="JF170" s="17">
        <f>COUNTIF(E170:DK170,"Present")+(COUNTIF(E170:DK170,"Half Day")*0.5)</f>
        <v>0</v>
      </c>
      <c r="JG170" s="17">
        <f>COUNTIF($E170:$DK170,"Absent")+(COUNTIF($E170:$DK170,"P(Half Day)")*0.5)</f>
        <v>0</v>
      </c>
    </row>
    <row r="171" spans="263:267">
      <c r="JC171" s="17"/>
      <c r="JD171" s="17"/>
      <c r="JF171" s="17">
        <f>COUNTIF(E171:DK171,"Present")+(COUNTIF(E171:DK171,"Half Day")*0.5)</f>
        <v>0</v>
      </c>
      <c r="JG171" s="17">
        <f>COUNTIF($E171:$DK171,"Absent")+(COUNTIF($E171:$DK171,"P(Half Day)")*0.5)</f>
        <v>0</v>
      </c>
    </row>
    <row r="172" spans="263:267">
      <c r="JC172" s="17"/>
      <c r="JD172" s="17"/>
      <c r="JF172" s="17">
        <f>COUNTIF(E172:DK172,"Present")+(COUNTIF(E172:DK172,"Half Day")*0.5)</f>
        <v>0</v>
      </c>
      <c r="JG172" s="17">
        <f>COUNTIF($E172:$DK172,"Absent")+(COUNTIF($E172:$DK172,"P(Half Day)")*0.5)</f>
        <v>0</v>
      </c>
    </row>
    <row r="173" spans="263:267">
      <c r="JC173" s="17"/>
      <c r="JD173" s="17"/>
      <c r="JF173" s="17">
        <f>COUNTIF(E173:DK173,"Present")+(COUNTIF(E173:DK173,"Half Day")*0.5)</f>
        <v>0</v>
      </c>
      <c r="JG173" s="17">
        <f>COUNTIF($E173:$DK173,"Absent")+(COUNTIF($E173:$DK173,"P(Half Day)")*0.5)</f>
        <v>0</v>
      </c>
    </row>
    <row r="174" spans="263:267">
      <c r="JC174" s="17"/>
      <c r="JD174" s="17"/>
      <c r="JF174" s="17">
        <f>COUNTIF(E174:DK174,"Present")+(COUNTIF(E174:DK174,"Half Day")*0.5)</f>
        <v>0</v>
      </c>
      <c r="JG174" s="17">
        <f>COUNTIF($E174:$DK174,"Absent")+(COUNTIF($E174:$DK174,"P(Half Day)")*0.5)</f>
        <v>0</v>
      </c>
    </row>
    <row r="175" spans="263:267">
      <c r="JC175" s="17"/>
      <c r="JD175" s="17"/>
      <c r="JF175" s="17">
        <f>COUNTIF(E175:DK175,"Present")+(COUNTIF(E175:DK175,"Half Day")*0.5)</f>
        <v>0</v>
      </c>
      <c r="JG175" s="17">
        <f>COUNTIF($E175:$DK175,"Absent")+(COUNTIF($E175:$DK175,"P(Half Day)")*0.5)</f>
        <v>0</v>
      </c>
    </row>
    <row r="176" spans="263:267">
      <c r="JC176" s="17"/>
      <c r="JD176" s="17"/>
      <c r="JF176" s="17">
        <f>COUNTIF(E176:DK176,"Present")+(COUNTIF(E176:DK176,"Half Day")*0.5)</f>
        <v>0</v>
      </c>
      <c r="JG176" s="17">
        <f>COUNTIF($E176:$DK176,"Absent")+(COUNTIF($E176:$DK176,"P(Half Day)")*0.5)</f>
        <v>0</v>
      </c>
    </row>
    <row r="177" spans="263:267">
      <c r="JC177" s="17"/>
      <c r="JD177" s="17"/>
      <c r="JF177" s="17">
        <f>COUNTIF(E177:DK177,"Present")+(COUNTIF(E177:DK177,"Half Day")*0.5)</f>
        <v>0</v>
      </c>
      <c r="JG177" s="17">
        <f>COUNTIF($E177:$DK177,"Absent")+(COUNTIF($E177:$DK177,"P(Half Day)")*0.5)</f>
        <v>0</v>
      </c>
    </row>
    <row r="178" spans="263:267">
      <c r="JC178" s="17"/>
      <c r="JD178" s="17"/>
      <c r="JF178" s="17">
        <f>COUNTIF(E178:DK178,"Present")+(COUNTIF(E178:DK178,"Half Day")*0.5)</f>
        <v>0</v>
      </c>
      <c r="JG178" s="17">
        <f>COUNTIF($E178:$DK178,"Absent")+(COUNTIF($E178:$DK178,"P(Half Day)")*0.5)</f>
        <v>0</v>
      </c>
    </row>
    <row r="179" spans="263:267">
      <c r="JC179" s="17"/>
      <c r="JD179" s="17"/>
      <c r="JF179" s="17">
        <f>COUNTIF(E179:DK179,"Present")+(COUNTIF(E179:DK179,"Half Day")*0.5)</f>
        <v>0</v>
      </c>
      <c r="JG179" s="17">
        <f>COUNTIF($E179:$DK179,"Absent")+(COUNTIF($E179:$DK179,"P(Half Day)")*0.5)</f>
        <v>0</v>
      </c>
    </row>
    <row r="180" spans="263:267">
      <c r="JC180" s="17"/>
      <c r="JD180" s="17"/>
      <c r="JF180" s="17">
        <f>COUNTIF(E180:DK180,"Present")+(COUNTIF(E180:DK180,"Half Day")*0.5)</f>
        <v>0</v>
      </c>
      <c r="JG180" s="17">
        <f>COUNTIF($E180:$DK180,"Absent")+(COUNTIF($E180:$DK180,"P(Half Day)")*0.5)</f>
        <v>0</v>
      </c>
    </row>
    <row r="181" spans="263:267">
      <c r="JC181" s="17"/>
      <c r="JD181" s="17"/>
      <c r="JF181" s="17">
        <f>COUNTIF(E181:DK181,"Present")+(COUNTIF(E181:DK181,"Half Day")*0.5)</f>
        <v>0</v>
      </c>
      <c r="JG181" s="17">
        <f>COUNTIF($E181:$DK181,"Absent")+(COUNTIF($E181:$DK181,"P(Half Day)")*0.5)</f>
        <v>0</v>
      </c>
    </row>
    <row r="182" spans="263:267">
      <c r="JC182" s="17"/>
      <c r="JD182" s="17"/>
      <c r="JF182" s="17">
        <f>COUNTIF(E182:DK182,"Present")+(COUNTIF(E182:DK182,"Half Day")*0.5)</f>
        <v>0</v>
      </c>
      <c r="JG182" s="17">
        <f>COUNTIF($E182:$DK182,"Absent")+(COUNTIF($E182:$DK182,"P(Half Day)")*0.5)</f>
        <v>0</v>
      </c>
    </row>
    <row r="183" spans="263:267">
      <c r="JC183" s="17"/>
      <c r="JD183" s="17"/>
      <c r="JF183" s="17">
        <f>COUNTIF(E183:DK183,"Present")+(COUNTIF(E183:DK183,"Half Day")*0.5)</f>
        <v>0</v>
      </c>
      <c r="JG183" s="17">
        <f>COUNTIF($E183:$DK183,"Absent")+(COUNTIF($E183:$DK183,"P(Half Day)")*0.5)</f>
        <v>0</v>
      </c>
    </row>
    <row r="184" spans="263:267">
      <c r="JC184" s="17"/>
      <c r="JD184" s="17"/>
      <c r="JF184" s="17">
        <f>COUNTIF(E184:DK184,"Present")+(COUNTIF(E184:DK184,"Half Day")*0.5)</f>
        <v>0</v>
      </c>
      <c r="JG184" s="17">
        <f>COUNTIF($E184:$DK184,"Absent")+(COUNTIF($E184:$DK184,"P(Half Day)")*0.5)</f>
        <v>0</v>
      </c>
    </row>
    <row r="185" spans="263:267">
      <c r="JC185" s="17"/>
      <c r="JD185" s="17"/>
      <c r="JF185" s="17">
        <f>COUNTIF(E185:DK185,"Present")+(COUNTIF(E185:DK185,"Half Day")*0.5)</f>
        <v>0</v>
      </c>
      <c r="JG185" s="17">
        <f>COUNTIF($E185:$DK185,"Absent")+(COUNTIF($E185:$DK185,"P(Half Day)")*0.5)</f>
        <v>0</v>
      </c>
    </row>
    <row r="186" spans="263:267">
      <c r="JC186" s="17"/>
      <c r="JD186" s="17"/>
      <c r="JF186" s="17">
        <f>COUNTIF(E186:DK186,"Present")+(COUNTIF(E186:DK186,"Half Day")*0.5)</f>
        <v>0</v>
      </c>
      <c r="JG186" s="17">
        <f>COUNTIF($E186:$DK186,"Absent")+(COUNTIF($E186:$DK186,"P(Half Day)")*0.5)</f>
        <v>0</v>
      </c>
    </row>
    <row r="187" spans="263:267">
      <c r="JC187" s="17"/>
      <c r="JD187" s="17"/>
      <c r="JF187" s="17">
        <f>COUNTIF(E187:DK187,"Present")+(COUNTIF(E187:DK187,"Half Day")*0.5)</f>
        <v>0</v>
      </c>
      <c r="JG187" s="17">
        <f>COUNTIF($E187:$DK187,"Absent")+(COUNTIF($E187:$DK187,"P(Half Day)")*0.5)</f>
        <v>0</v>
      </c>
    </row>
    <row r="188" spans="263:267">
      <c r="JC188" s="17"/>
      <c r="JD188" s="17"/>
      <c r="JF188" s="17">
        <f>COUNTIF(E188:DK188,"Present")+(COUNTIF(E188:DK188,"Half Day")*0.5)</f>
        <v>0</v>
      </c>
      <c r="JG188" s="17">
        <f>COUNTIF($E188:$DK188,"Absent")+(COUNTIF($E188:$DK188,"P(Half Day)")*0.5)</f>
        <v>0</v>
      </c>
    </row>
    <row r="189" spans="263:267">
      <c r="JC189" s="17"/>
      <c r="JD189" s="17"/>
      <c r="JF189" s="17">
        <f>COUNTIF(E189:DK189,"Present")+(COUNTIF(E189:DK189,"Half Day")*0.5)</f>
        <v>0</v>
      </c>
      <c r="JG189" s="17">
        <f>COUNTIF($E189:$DK189,"Absent")+(COUNTIF($E189:$DK189,"P(Half Day)")*0.5)</f>
        <v>0</v>
      </c>
    </row>
    <row r="190" spans="263:267">
      <c r="JC190" s="17"/>
      <c r="JD190" s="17"/>
      <c r="JF190" s="17">
        <f>COUNTIF(E190:DK190,"Present")+(COUNTIF(E190:DK190,"Half Day")*0.5)</f>
        <v>0</v>
      </c>
      <c r="JG190" s="17">
        <f>COUNTIF($E190:$DK190,"Absent")+(COUNTIF($E190:$DK190,"P(Half Day)")*0.5)</f>
        <v>0</v>
      </c>
    </row>
    <row r="191" spans="263:267">
      <c r="JC191" s="17"/>
      <c r="JD191" s="17"/>
      <c r="JF191" s="17">
        <f>COUNTIF(E191:DK191,"Present")+(COUNTIF(E191:DK191,"Half Day")*0.5)</f>
        <v>0</v>
      </c>
      <c r="JG191" s="17">
        <f>COUNTIF($E191:$DK191,"Absent")+(COUNTIF($E191:$DK191,"P(Half Day)")*0.5)</f>
        <v>0</v>
      </c>
    </row>
    <row r="192" spans="263:267">
      <c r="JC192" s="17"/>
      <c r="JD192" s="17"/>
      <c r="JF192" s="17">
        <f>COUNTIF(E192:DK192,"Present")+(COUNTIF(E192:DK192,"Half Day")*0.5)</f>
        <v>0</v>
      </c>
      <c r="JG192" s="17">
        <f>COUNTIF($E192:$DK192,"Absent")+(COUNTIF($E192:$DK192,"P(Half Day)")*0.5)</f>
        <v>0</v>
      </c>
    </row>
    <row r="193" spans="263:267">
      <c r="JC193" s="17"/>
      <c r="JD193" s="17"/>
      <c r="JF193" s="17">
        <f>COUNTIF(E193:DK193,"Present")+(COUNTIF(E193:DK193,"Half Day")*0.5)</f>
        <v>0</v>
      </c>
      <c r="JG193" s="17">
        <f>COUNTIF($E193:$DK193,"Absent")+(COUNTIF($E193:$DK193,"P(Half Day)")*0.5)</f>
        <v>0</v>
      </c>
    </row>
    <row r="194" spans="263:267">
      <c r="JC194" s="17"/>
      <c r="JD194" s="17"/>
      <c r="JF194" s="17">
        <f>COUNTIF(E194:DK194,"Present")+(COUNTIF(E194:DK194,"Half Day")*0.5)</f>
        <v>0</v>
      </c>
      <c r="JG194" s="17">
        <f>COUNTIF($E194:$DK194,"Absent")+(COUNTIF($E194:$DK194,"P(Half Day)")*0.5)</f>
        <v>0</v>
      </c>
    </row>
    <row r="195" spans="263:267">
      <c r="JC195" s="17"/>
      <c r="JD195" s="17"/>
      <c r="JF195" s="17">
        <f>COUNTIF(E195:DK195,"Present")+(COUNTIF(E195:DK195,"Half Day")*0.5)</f>
        <v>0</v>
      </c>
      <c r="JG195" s="17">
        <f>COUNTIF($E195:$DK195,"Absent")+(COUNTIF($E195:$DK195,"P(Half Day)")*0.5)</f>
        <v>0</v>
      </c>
    </row>
    <row r="196" spans="263:267">
      <c r="JC196" s="17"/>
      <c r="JD196" s="17"/>
      <c r="JF196" s="17">
        <f>COUNTIF(E196:DK196,"Present")+(COUNTIF(E196:DK196,"Half Day")*0.5)</f>
        <v>0</v>
      </c>
      <c r="JG196" s="17">
        <f>COUNTIF($E196:$DK196,"Absent")+(COUNTIF($E196:$DK196,"P(Half Day)")*0.5)</f>
        <v>0</v>
      </c>
    </row>
    <row r="197" spans="263:267">
      <c r="JC197" s="17"/>
      <c r="JD197" s="17"/>
      <c r="JF197" s="17">
        <f>COUNTIF(E197:DK197,"Present")+(COUNTIF(E197:DK197,"Half Day")*0.5)</f>
        <v>0</v>
      </c>
      <c r="JG197" s="17">
        <f>COUNTIF($E197:$DK197,"Absent")+(COUNTIF($E197:$DK197,"P(Half Day)")*0.5)</f>
        <v>0</v>
      </c>
    </row>
    <row r="198" spans="263:267">
      <c r="JC198" s="17"/>
      <c r="JD198" s="17"/>
      <c r="JF198" s="17">
        <f>COUNTIF(E198:DK198,"Present")+(COUNTIF(E198:DK198,"Half Day")*0.5)</f>
        <v>0</v>
      </c>
      <c r="JG198" s="17">
        <f>COUNTIF($E198:$DK198,"Absent")+(COUNTIF($E198:$DK198,"P(Half Day)")*0.5)</f>
        <v>0</v>
      </c>
    </row>
    <row r="199" spans="263:267">
      <c r="JC199" s="17"/>
      <c r="JD199" s="17"/>
      <c r="JF199" s="17">
        <f>COUNTIF(E199:DK199,"Present")+(COUNTIF(E199:DK199,"Half Day")*0.5)</f>
        <v>0</v>
      </c>
      <c r="JG199" s="17">
        <f>COUNTIF($E199:$DK199,"Absent")+(COUNTIF($E199:$DK199,"P(Half Day)")*0.5)</f>
        <v>0</v>
      </c>
    </row>
    <row r="200" spans="263:267">
      <c r="JC200" s="17"/>
      <c r="JD200" s="17"/>
      <c r="JF200" s="17">
        <f>COUNTIF(E200:DK200,"Present")+(COUNTIF(E200:DK200,"Half Day")*0.5)</f>
        <v>0</v>
      </c>
      <c r="JG200" s="17">
        <f>COUNTIF($E200:$DK200,"Absent")+(COUNTIF($E200:$DK200,"P(Half Day)")*0.5)</f>
        <v>0</v>
      </c>
    </row>
    <row r="201" spans="263:267">
      <c r="JC201" s="17"/>
      <c r="JD201" s="17"/>
      <c r="JF201" s="17">
        <f>COUNTIF(E201:DK201,"Present")+(COUNTIF(E201:DK201,"Half Day")*0.5)</f>
        <v>0</v>
      </c>
      <c r="JG201" s="17">
        <f>COUNTIF($E201:$DK201,"Absent")+(COUNTIF($E201:$DK201,"P(Half Day)")*0.5)</f>
        <v>0</v>
      </c>
    </row>
    <row r="202" spans="263:267">
      <c r="JC202" s="17"/>
      <c r="JD202" s="17"/>
      <c r="JF202" s="17">
        <f>COUNTIF(E202:DK202,"Present")+(COUNTIF(E202:DK202,"Half Day")*0.5)</f>
        <v>0</v>
      </c>
      <c r="JG202" s="17">
        <f>COUNTIF($E202:$DK202,"Absent")+(COUNTIF($E202:$DK202,"P(Half Day)")*0.5)</f>
        <v>0</v>
      </c>
    </row>
    <row r="203" spans="263:267">
      <c r="JC203" s="17"/>
      <c r="JD203" s="17"/>
      <c r="JF203" s="17">
        <f>COUNTIF(E203:DK203,"Present")+(COUNTIF(E203:DK203,"Half Day")*0.5)</f>
        <v>0</v>
      </c>
      <c r="JG203" s="17">
        <f>COUNTIF($E203:$DK203,"Absent")+(COUNTIF($E203:$DK203,"P(Half Day)")*0.5)</f>
        <v>0</v>
      </c>
    </row>
    <row r="204" spans="263:267">
      <c r="JC204" s="17"/>
      <c r="JD204" s="17"/>
      <c r="JF204" s="17">
        <f>COUNTIF(E204:DK204,"Present")+(COUNTIF(E204:DK204,"Half Day")*0.5)</f>
        <v>0</v>
      </c>
      <c r="JG204" s="17">
        <f>COUNTIF($E204:$DK204,"Absent")+(COUNTIF($E204:$DK204,"P(Half Day)")*0.5)</f>
        <v>0</v>
      </c>
    </row>
    <row r="205" spans="263:267">
      <c r="JC205" s="17"/>
      <c r="JD205" s="17"/>
      <c r="JF205" s="17">
        <f>COUNTIF(E205:DK205,"Present")+(COUNTIF(E205:DK205,"Half Day")*0.5)</f>
        <v>0</v>
      </c>
      <c r="JG205" s="17">
        <f>COUNTIF($E205:$DK205,"Absent")+(COUNTIF($E205:$DK205,"P(Half Day)")*0.5)</f>
        <v>0</v>
      </c>
    </row>
    <row r="206" spans="263:267">
      <c r="JC206" s="17"/>
      <c r="JD206" s="17"/>
      <c r="JF206" s="17">
        <f>COUNTIF(E206:DK206,"Present")+(COUNTIF(E206:DK206,"Half Day")*0.5)</f>
        <v>0</v>
      </c>
      <c r="JG206" s="17">
        <f>COUNTIF($E206:$DK206,"Absent")+(COUNTIF($E206:$DK206,"P(Half Day)")*0.5)</f>
        <v>0</v>
      </c>
    </row>
    <row r="207" spans="263:267">
      <c r="JC207" s="17"/>
      <c r="JD207" s="17"/>
      <c r="JF207" s="17">
        <f>COUNTIF(E207:DK207,"Present")+(COUNTIF(E207:DK207,"Half Day")*0.5)</f>
        <v>0</v>
      </c>
      <c r="JG207" s="17">
        <f>COUNTIF($E207:$DK207,"Absent")+(COUNTIF($E207:$DK207,"P(Half Day)")*0.5)</f>
        <v>0</v>
      </c>
    </row>
    <row r="208" spans="263:267">
      <c r="JC208" s="17"/>
      <c r="JD208" s="17"/>
      <c r="JF208" s="17">
        <f>COUNTIF(E208:DK208,"Present")+(COUNTIF(E208:DK208,"Half Day")*0.5)</f>
        <v>0</v>
      </c>
      <c r="JG208" s="17">
        <f>COUNTIF($E208:$DK208,"Absent")+(COUNTIF($E208:$DK208,"P(Half Day)")*0.5)</f>
        <v>0</v>
      </c>
    </row>
    <row r="209" spans="263:267">
      <c r="JC209" s="17"/>
      <c r="JD209" s="17"/>
      <c r="JF209" s="17">
        <f>COUNTIF(E209:DK209,"Present")+(COUNTIF(E209:DK209,"Half Day")*0.5)</f>
        <v>0</v>
      </c>
      <c r="JG209" s="17">
        <f>COUNTIF($E209:$DK209,"Absent")+(COUNTIF($E209:$DK209,"P(Half Day)")*0.5)</f>
        <v>0</v>
      </c>
    </row>
    <row r="210" spans="263:267">
      <c r="JC210" s="17"/>
      <c r="JD210" s="17"/>
      <c r="JF210" s="17">
        <f>COUNTIF(E210:DK210,"Present")+(COUNTIF(E210:DK210,"Half Day")*0.5)</f>
        <v>0</v>
      </c>
      <c r="JG210" s="17">
        <f>COUNTIF($E210:$DK210,"Absent")+(COUNTIF($E210:$DK210,"P(Half Day)")*0.5)</f>
        <v>0</v>
      </c>
    </row>
    <row r="211" spans="263:267">
      <c r="JC211" s="17"/>
      <c r="JD211" s="17"/>
      <c r="JF211" s="17">
        <f>COUNTIF(E211:DK211,"Present")+(COUNTIF(E211:DK211,"Half Day")*0.5)</f>
        <v>0</v>
      </c>
      <c r="JG211" s="17">
        <f>COUNTIF($E211:$DK211,"Absent")+(COUNTIF($E211:$DK211,"P(Half Day)")*0.5)</f>
        <v>0</v>
      </c>
    </row>
    <row r="212" spans="263:267">
      <c r="JC212" s="17"/>
      <c r="JD212" s="17"/>
      <c r="JF212" s="17">
        <f>COUNTIF(E212:DK212,"Present")+(COUNTIF(E212:DK212,"Half Day")*0.5)</f>
        <v>0</v>
      </c>
      <c r="JG212" s="17">
        <f>COUNTIF($E212:$DK212,"Absent")+(COUNTIF($E212:$DK212,"P(Half Day)")*0.5)</f>
        <v>0</v>
      </c>
    </row>
    <row r="213" spans="263:267">
      <c r="JC213" s="17"/>
      <c r="JD213" s="17"/>
      <c r="JF213" s="17">
        <f>COUNTIF(E213:DK213,"Present")+(COUNTIF(E213:DK213,"Half Day")*0.5)</f>
        <v>0</v>
      </c>
      <c r="JG213" s="17">
        <f>COUNTIF($E213:$DK213,"Absent")+(COUNTIF($E213:$DK213,"P(Half Day)")*0.5)</f>
        <v>0</v>
      </c>
    </row>
    <row r="214" spans="263:267">
      <c r="JC214" s="17"/>
      <c r="JD214" s="17"/>
      <c r="JF214" s="17">
        <f>COUNTIF(E214:DK214,"Present")+(COUNTIF(E214:DK214,"Half Day")*0.5)</f>
        <v>0</v>
      </c>
      <c r="JG214" s="17">
        <f>COUNTIF($E214:$DK214,"Absent")+(COUNTIF($E214:$DK214,"P(Half Day)")*0.5)</f>
        <v>0</v>
      </c>
    </row>
    <row r="215" spans="263:267">
      <c r="JC215" s="17"/>
      <c r="JD215" s="17"/>
      <c r="JF215" s="17">
        <f>COUNTIF(E215:DK215,"Present")+(COUNTIF(E215:DK215,"Half Day")*0.5)</f>
        <v>0</v>
      </c>
      <c r="JG215" s="17">
        <f>COUNTIF($E215:$DK215,"Absent")+(COUNTIF($E215:$DK215,"P(Half Day)")*0.5)</f>
        <v>0</v>
      </c>
    </row>
    <row r="216" spans="263:267">
      <c r="JC216" s="17"/>
      <c r="JD216" s="17"/>
      <c r="JF216" s="17">
        <f>COUNTIF(E216:DK216,"Present")+(COUNTIF(E216:DK216,"Half Day")*0.5)</f>
        <v>0</v>
      </c>
      <c r="JG216" s="17">
        <f>COUNTIF($E216:$DK216,"Absent")+(COUNTIF($E216:$DK216,"P(Half Day)")*0.5)</f>
        <v>0</v>
      </c>
    </row>
    <row r="217" spans="263:267">
      <c r="JC217" s="17"/>
      <c r="JD217" s="17"/>
      <c r="JF217" s="17">
        <f>COUNTIF(E217:DK217,"Present")+(COUNTIF(E217:DK217,"Half Day")*0.5)</f>
        <v>0</v>
      </c>
      <c r="JG217" s="17">
        <f>COUNTIF($E217:$DK217,"Absent")+(COUNTIF($E217:$DK217,"P(Half Day)")*0.5)</f>
        <v>0</v>
      </c>
    </row>
    <row r="218" spans="263:267">
      <c r="JC218" s="17"/>
      <c r="JD218" s="17"/>
      <c r="JF218" s="17">
        <f>COUNTIF(E218:DK218,"Present")+(COUNTIF(E218:DK218,"Half Day")*0.5)</f>
        <v>0</v>
      </c>
      <c r="JG218" s="17">
        <f>COUNTIF($E218:$DK218,"Absent")+(COUNTIF($E218:$DK218,"P(Half Day)")*0.5)</f>
        <v>0</v>
      </c>
    </row>
    <row r="219" spans="263:267">
      <c r="JC219" s="17"/>
      <c r="JD219" s="17"/>
      <c r="JF219" s="17">
        <f>COUNTIF(E219:DK219,"Present")+(COUNTIF(E219:DK219,"Half Day")*0.5)</f>
        <v>0</v>
      </c>
      <c r="JG219" s="17">
        <f>COUNTIF($E219:$DK219,"Absent")+(COUNTIF($E219:$DK219,"P(Half Day)")*0.5)</f>
        <v>0</v>
      </c>
    </row>
    <row r="220" spans="263:267">
      <c r="JC220" s="17"/>
      <c r="JD220" s="17"/>
      <c r="JF220" s="17">
        <f>COUNTIF(E220:DK220,"Present")+(COUNTIF(E220:DK220,"Half Day")*0.5)</f>
        <v>0</v>
      </c>
      <c r="JG220" s="17">
        <f>COUNTIF($E220:$DK220,"Absent")+(COUNTIF($E220:$DK220,"P(Half Day)")*0.5)</f>
        <v>0</v>
      </c>
    </row>
    <row r="221" spans="263:267">
      <c r="JC221" s="17"/>
      <c r="JD221" s="17"/>
      <c r="JF221" s="17">
        <f>COUNTIF(E221:DK221,"Present")+(COUNTIF(E221:DK221,"Half Day")*0.5)</f>
        <v>0</v>
      </c>
      <c r="JG221" s="17">
        <f>COUNTIF($E221:$DK221,"Absent")+(COUNTIF($E221:$DK221,"P(Half Day)")*0.5)</f>
        <v>0</v>
      </c>
    </row>
    <row r="222" spans="263:267">
      <c r="JC222" s="17"/>
      <c r="JD222" s="17"/>
      <c r="JF222" s="17">
        <f>COUNTIF(E222:DK222,"Present")+(COUNTIF(E222:DK222,"Half Day")*0.5)</f>
        <v>0</v>
      </c>
      <c r="JG222" s="17">
        <f>COUNTIF($E222:$DK222,"Absent")+(COUNTIF($E222:$DK222,"P(Half Day)")*0.5)</f>
        <v>0</v>
      </c>
    </row>
    <row r="223" spans="263:267">
      <c r="JC223" s="17"/>
      <c r="JD223" s="17"/>
      <c r="JF223" s="17">
        <f>COUNTIF(E223:DK223,"Present")+(COUNTIF(E223:DK223,"Half Day")*0.5)</f>
        <v>0</v>
      </c>
      <c r="JG223" s="17">
        <f>COUNTIF($E223:$DK223,"Absent")+(COUNTIF($E223:$DK223,"P(Half Day)")*0.5)</f>
        <v>0</v>
      </c>
    </row>
    <row r="224" spans="263:267">
      <c r="JC224" s="17"/>
      <c r="JD224" s="17"/>
      <c r="JF224" s="17">
        <f>COUNTIF(E224:DK224,"Present")+(COUNTIF(E224:DK224,"Half Day")*0.5)</f>
        <v>0</v>
      </c>
      <c r="JG224" s="17">
        <f>COUNTIF($E224:$DK224,"Absent")+(COUNTIF($E224:$DK224,"P(Half Day)")*0.5)</f>
        <v>0</v>
      </c>
    </row>
    <row r="225" spans="263:267">
      <c r="JC225" s="17"/>
      <c r="JD225" s="17"/>
      <c r="JF225" s="17">
        <f>COUNTIF(E225:DK225,"Present")+(COUNTIF(E225:DK225,"Half Day")*0.5)</f>
        <v>0</v>
      </c>
      <c r="JG225" s="17">
        <f>COUNTIF($E225:$DK225,"Absent")+(COUNTIF($E225:$DK225,"P(Half Day)")*0.5)</f>
        <v>0</v>
      </c>
    </row>
    <row r="226" spans="263:267">
      <c r="JC226" s="17"/>
      <c r="JD226" s="17"/>
      <c r="JF226" s="17">
        <f>COUNTIF(E226:DK226,"Present")+(COUNTIF(E226:DK226,"Half Day")*0.5)</f>
        <v>0</v>
      </c>
      <c r="JG226" s="17">
        <f>COUNTIF($E226:$DK226,"Absent")+(COUNTIF($E226:$DK226,"P(Half Day)")*0.5)</f>
        <v>0</v>
      </c>
    </row>
    <row r="227" spans="263:267">
      <c r="JC227" s="17"/>
      <c r="JD227" s="17"/>
      <c r="JF227" s="17">
        <f>COUNTIF(E227:DK227,"Present")+(COUNTIF(E227:DK227,"Half Day")*0.5)</f>
        <v>0</v>
      </c>
      <c r="JG227" s="17">
        <f>COUNTIF($E227:$DK227,"Absent")+(COUNTIF($E227:$DK227,"P(Half Day)")*0.5)</f>
        <v>0</v>
      </c>
    </row>
    <row r="228" spans="263:267">
      <c r="JC228" s="17"/>
      <c r="JD228" s="17"/>
      <c r="JF228" s="17">
        <f>COUNTIF(E228:DK228,"Present")+(COUNTIF(E228:DK228,"Half Day")*0.5)</f>
        <v>0</v>
      </c>
      <c r="JG228" s="17">
        <f>COUNTIF($E228:$DK228,"Absent")+(COUNTIF($E228:$DK228,"P(Half Day)")*0.5)</f>
        <v>0</v>
      </c>
    </row>
    <row r="229" spans="263:267">
      <c r="JC229" s="17"/>
      <c r="JD229" s="17"/>
      <c r="JF229" s="17">
        <f>COUNTIF(E229:DK229,"Present")+(COUNTIF(E229:DK229,"Half Day")*0.5)</f>
        <v>0</v>
      </c>
      <c r="JG229" s="17">
        <f>COUNTIF($E229:$DK229,"Absent")+(COUNTIF($E229:$DK229,"P(Half Day)")*0.5)</f>
        <v>0</v>
      </c>
    </row>
    <row r="230" spans="263:267">
      <c r="JC230" s="17"/>
      <c r="JD230" s="17"/>
      <c r="JF230" s="17">
        <f>COUNTIF(E230:DK230,"Present")+(COUNTIF(E230:DK230,"Half Day")*0.5)</f>
        <v>0</v>
      </c>
      <c r="JG230" s="17">
        <f>COUNTIF($E230:$DK230,"Absent")+(COUNTIF($E230:$DK230,"P(Half Day)")*0.5)</f>
        <v>0</v>
      </c>
    </row>
    <row r="231" spans="263:267">
      <c r="JC231" s="17"/>
      <c r="JD231" s="17"/>
      <c r="JF231" s="17">
        <f>COUNTIF(E231:DK231,"Present")+(COUNTIF(E231:DK231,"Half Day")*0.5)</f>
        <v>0</v>
      </c>
      <c r="JG231" s="17">
        <f>COUNTIF($E231:$DK231,"Absent")+(COUNTIF($E231:$DK231,"P(Half Day)")*0.5)</f>
        <v>0</v>
      </c>
    </row>
    <row r="232" spans="263:267">
      <c r="JC232" s="17"/>
      <c r="JD232" s="17"/>
      <c r="JF232" s="17">
        <f>COUNTIF(E232:DK232,"Present")+(COUNTIF(E232:DK232,"Half Day")*0.5)</f>
        <v>0</v>
      </c>
      <c r="JG232" s="17">
        <f>COUNTIF($E232:$DK232,"Absent")+(COUNTIF($E232:$DK232,"P(Half Day)")*0.5)</f>
        <v>0</v>
      </c>
    </row>
    <row r="233" spans="263:267">
      <c r="JC233" s="17"/>
      <c r="JD233" s="17"/>
      <c r="JF233" s="17">
        <f>COUNTIF(E233:DK233,"Present")+(COUNTIF(E233:DK233,"Half Day")*0.5)</f>
        <v>0</v>
      </c>
      <c r="JG233" s="17">
        <f>COUNTIF($E233:$DK233,"Absent")+(COUNTIF($E233:$DK233,"P(Half Day)")*0.5)</f>
        <v>0</v>
      </c>
    </row>
    <row r="234" spans="263:267">
      <c r="JC234" s="17"/>
      <c r="JD234" s="17"/>
      <c r="JF234" s="17">
        <f>COUNTIF(E234:DK234,"Present")+(COUNTIF(E234:DK234,"Half Day")*0.5)</f>
        <v>0</v>
      </c>
      <c r="JG234" s="17">
        <f>COUNTIF($E234:$DK234,"Absent")+(COUNTIF($E234:$DK234,"P(Half Day)")*0.5)</f>
        <v>0</v>
      </c>
    </row>
    <row r="235" spans="263:267">
      <c r="JC235" s="17"/>
      <c r="JD235" s="17"/>
      <c r="JF235" s="17">
        <f>COUNTIF(E235:DK235,"Present")+(COUNTIF(E235:DK235,"Half Day")*0.5)</f>
        <v>0</v>
      </c>
      <c r="JG235" s="17">
        <f>COUNTIF($E235:$DK235,"Absent")+(COUNTIF($E235:$DK235,"P(Half Day)")*0.5)</f>
        <v>0</v>
      </c>
    </row>
    <row r="236" spans="263:267">
      <c r="JC236" s="17"/>
      <c r="JD236" s="17"/>
      <c r="JF236" s="17">
        <f>COUNTIF(E236:DK236,"Present")+(COUNTIF(E236:DK236,"Half Day")*0.5)</f>
        <v>0</v>
      </c>
      <c r="JG236" s="17">
        <f>COUNTIF($E236:$DK236,"Absent")+(COUNTIF($E236:$DK236,"P(Half Day)")*0.5)</f>
        <v>0</v>
      </c>
    </row>
    <row r="237" spans="263:267">
      <c r="JC237" s="17"/>
      <c r="JD237" s="17"/>
      <c r="JF237" s="17">
        <f>COUNTIF(E237:DK237,"Present")+(COUNTIF(E237:DK237,"Half Day")*0.5)</f>
        <v>0</v>
      </c>
      <c r="JG237" s="17">
        <f>COUNTIF($E237:$DK237,"Absent")+(COUNTIF($E237:$DK237,"P(Half Day)")*0.5)</f>
        <v>0</v>
      </c>
    </row>
    <row r="238" spans="263:267">
      <c r="JC238" s="17"/>
      <c r="JD238" s="17"/>
      <c r="JF238" s="17">
        <f>COUNTIF(E238:DK238,"Present")+(COUNTIF(E238:DK238,"Half Day")*0.5)</f>
        <v>0</v>
      </c>
      <c r="JG238" s="17">
        <f>COUNTIF($E238:$DK238,"Absent")+(COUNTIF($E238:$DK238,"P(Half Day)")*0.5)</f>
        <v>0</v>
      </c>
    </row>
    <row r="239" spans="263:267">
      <c r="JC239" s="17"/>
      <c r="JD239" s="17"/>
      <c r="JF239" s="17">
        <f>COUNTIF(E239:DK239,"Present")+(COUNTIF(E239:DK239,"Half Day")*0.5)</f>
        <v>0</v>
      </c>
      <c r="JG239" s="17">
        <f>COUNTIF($E239:$DK239,"Absent")+(COUNTIF($E239:$DK239,"P(Half Day)")*0.5)</f>
        <v>0</v>
      </c>
    </row>
    <row r="240" spans="263:267">
      <c r="JC240" s="17"/>
      <c r="JD240" s="17"/>
      <c r="JF240" s="17">
        <f>COUNTIF(E240:DK240,"Present")+(COUNTIF(E240:DK240,"Half Day")*0.5)</f>
        <v>0</v>
      </c>
      <c r="JG240" s="17">
        <f>COUNTIF($E240:$DK240,"Absent")+(COUNTIF($E240:$DK240,"P(Half Day)")*0.5)</f>
        <v>0</v>
      </c>
    </row>
    <row r="241" spans="263:267">
      <c r="JC241" s="17"/>
      <c r="JD241" s="17"/>
      <c r="JF241" s="17">
        <f>COUNTIF(E241:DK241,"Present")+(COUNTIF(E241:DK241,"Half Day")*0.5)</f>
        <v>0</v>
      </c>
      <c r="JG241" s="17">
        <f>COUNTIF($E241:$DK241,"Absent")+(COUNTIF($E241:$DK241,"P(Half Day)")*0.5)</f>
        <v>0</v>
      </c>
    </row>
    <row r="242" spans="263:267">
      <c r="JC242" s="17"/>
      <c r="JD242" s="17"/>
      <c r="JF242" s="17">
        <f>COUNTIF(E242:DK242,"Present")+(COUNTIF(E242:DK242,"Half Day")*0.5)</f>
        <v>0</v>
      </c>
      <c r="JG242" s="17">
        <f>COUNTIF($E242:$DK242,"Absent")+(COUNTIF($E242:$DK242,"P(Half Day)")*0.5)</f>
        <v>0</v>
      </c>
    </row>
    <row r="243" spans="263:267">
      <c r="JC243" s="17"/>
      <c r="JD243" s="17"/>
      <c r="JF243" s="17">
        <f>COUNTIF(E243:DK243,"Present")+(COUNTIF(E243:DK243,"Half Day")*0.5)</f>
        <v>0</v>
      </c>
      <c r="JG243" s="17">
        <f>COUNTIF($E243:$DK243,"Absent")+(COUNTIF($E243:$DK243,"P(Half Day)")*0.5)</f>
        <v>0</v>
      </c>
    </row>
    <row r="244" spans="263:267">
      <c r="JC244" s="17"/>
      <c r="JD244" s="17"/>
      <c r="JF244" s="17">
        <f>COUNTIF(E244:DK244,"Present")+(COUNTIF(E244:DK244,"Half Day")*0.5)</f>
        <v>0</v>
      </c>
      <c r="JG244" s="17">
        <f>COUNTIF($E244:$DK244,"Absent")+(COUNTIF($E244:$DK244,"P(Half Day)")*0.5)</f>
        <v>0</v>
      </c>
    </row>
    <row r="245" spans="263:267">
      <c r="JC245" s="17"/>
      <c r="JD245" s="17"/>
      <c r="JF245" s="17">
        <f>COUNTIF(E245:DK245,"Present")+(COUNTIF(E245:DK245,"Half Day")*0.5)</f>
        <v>0</v>
      </c>
      <c r="JG245" s="17">
        <f>COUNTIF($E245:$DK245,"Absent")+(COUNTIF($E245:$DK245,"P(Half Day)")*0.5)</f>
        <v>0</v>
      </c>
    </row>
    <row r="246" spans="263:267">
      <c r="JC246" s="17"/>
      <c r="JD246" s="17"/>
      <c r="JF246" s="17">
        <f>COUNTIF(E246:DK246,"Present")+(COUNTIF(E246:DK246,"Half Day")*0.5)</f>
        <v>0</v>
      </c>
      <c r="JG246" s="17">
        <f>COUNTIF($E246:$DK246,"Absent")+(COUNTIF($E246:$DK246,"P(Half Day)")*0.5)</f>
        <v>0</v>
      </c>
    </row>
    <row r="247" spans="263:267">
      <c r="JC247" s="17"/>
      <c r="JD247" s="17"/>
      <c r="JF247" s="17">
        <f>COUNTIF(E247:DK247,"Present")+(COUNTIF(E247:DK247,"Half Day")*0.5)</f>
        <v>0</v>
      </c>
      <c r="JG247" s="17">
        <f>COUNTIF($E247:$DK247,"Absent")+(COUNTIF($E247:$DK247,"P(Half Day)")*0.5)</f>
        <v>0</v>
      </c>
    </row>
    <row r="248" spans="263:267">
      <c r="JC248" s="17"/>
      <c r="JD248" s="17"/>
      <c r="JF248" s="17">
        <f>COUNTIF(E248:DK248,"Present")+(COUNTIF(E248:DK248,"Half Day")*0.5)</f>
        <v>0</v>
      </c>
      <c r="JG248" s="17">
        <f>COUNTIF($E248:$DK248,"Absent")+(COUNTIF($E248:$DK248,"P(Half Day)")*0.5)</f>
        <v>0</v>
      </c>
    </row>
    <row r="249" spans="263:267">
      <c r="JC249" s="17"/>
      <c r="JD249" s="17"/>
      <c r="JF249" s="17">
        <f>COUNTIF(E249:DK249,"Present")+(COUNTIF(E249:DK249,"Half Day")*0.5)</f>
        <v>0</v>
      </c>
      <c r="JG249" s="17">
        <f>COUNTIF($E249:$DK249,"Absent")+(COUNTIF($E249:$DK249,"P(Half Day)")*0.5)</f>
        <v>0</v>
      </c>
    </row>
    <row r="250" spans="263:267">
      <c r="JC250" s="17"/>
      <c r="JD250" s="17"/>
      <c r="JF250" s="17">
        <f>COUNTIF(E250:DK250,"Present")+(COUNTIF(E250:DK250,"Half Day")*0.5)</f>
        <v>0</v>
      </c>
      <c r="JG250" s="17">
        <f>COUNTIF($E250:$DK250,"Absent")+(COUNTIF($E250:$DK250,"P(Half Day)")*0.5)</f>
        <v>0</v>
      </c>
    </row>
    <row r="251" spans="263:267">
      <c r="JC251" s="17"/>
      <c r="JD251" s="17"/>
      <c r="JF251" s="17">
        <f>COUNTIF(E251:DK251,"Present")+(COUNTIF(E251:DK251,"Half Day")*0.5)</f>
        <v>0</v>
      </c>
      <c r="JG251" s="17">
        <f>COUNTIF($E251:$DK251,"Absent")+(COUNTIF($E251:$DK251,"P(Half Day)")*0.5)</f>
        <v>0</v>
      </c>
    </row>
    <row r="252" spans="263:267">
      <c r="JC252" s="17"/>
      <c r="JD252" s="17"/>
      <c r="JF252" s="17">
        <f>COUNTIF(E252:DK252,"Present")+(COUNTIF(E252:DK252,"Half Day")*0.5)</f>
        <v>0</v>
      </c>
      <c r="JG252" s="17">
        <f>COUNTIF($E252:$DK252,"Absent")+(COUNTIF($E252:$DK252,"P(Half Day)")*0.5)</f>
        <v>0</v>
      </c>
    </row>
    <row r="253" spans="263:267">
      <c r="JC253" s="17"/>
      <c r="JD253" s="17"/>
      <c r="JF253" s="17">
        <f>COUNTIF(E253:DK253,"Present")+(COUNTIF(E253:DK253,"Half Day")*0.5)</f>
        <v>0</v>
      </c>
      <c r="JG253" s="17">
        <f>COUNTIF($E253:$DK253,"Absent")+(COUNTIF($E253:$DK253,"P(Half Day)")*0.5)</f>
        <v>0</v>
      </c>
    </row>
    <row r="254" spans="263:267">
      <c r="JC254" s="17"/>
      <c r="JD254" s="17"/>
      <c r="JF254" s="17">
        <f>COUNTIF(E254:DK254,"Present")+(COUNTIF(E254:DK254,"Half Day")*0.5)</f>
        <v>0</v>
      </c>
      <c r="JG254" s="17">
        <f>COUNTIF($E254:$DK254,"Absent")+(COUNTIF($E254:$DK254,"P(Half Day)")*0.5)</f>
        <v>0</v>
      </c>
    </row>
    <row r="255" spans="263:267">
      <c r="JC255" s="17"/>
      <c r="JD255" s="17"/>
      <c r="JF255" s="17">
        <f>COUNTIF(E255:DK255,"Present")+(COUNTIF(E255:DK255,"Half Day")*0.5)</f>
        <v>0</v>
      </c>
      <c r="JG255" s="17">
        <f>COUNTIF($E255:$DK255,"Absent")+(COUNTIF($E255:$DK255,"P(Half Day)")*0.5)</f>
        <v>0</v>
      </c>
    </row>
    <row r="256" spans="263:267">
      <c r="JC256" s="17"/>
      <c r="JD256" s="17"/>
      <c r="JF256" s="17">
        <f>COUNTIF(E256:DK256,"Present")+(COUNTIF(E256:DK256,"Half Day")*0.5)</f>
        <v>0</v>
      </c>
      <c r="JG256" s="17">
        <f>COUNTIF($E256:$DK256,"Absent")+(COUNTIF($E256:$DK256,"P(Half Day)")*0.5)</f>
        <v>0</v>
      </c>
    </row>
    <row r="257" spans="263:267">
      <c r="JC257" s="17"/>
      <c r="JD257" s="17"/>
      <c r="JF257" s="17">
        <f>COUNTIF(E257:DK257,"Present")+(COUNTIF(E257:DK257,"Half Day")*0.5)</f>
        <v>0</v>
      </c>
      <c r="JG257" s="17">
        <f>COUNTIF($E257:$DK257,"Absent")+(COUNTIF($E257:$DK257,"P(Half Day)")*0.5)</f>
        <v>0</v>
      </c>
    </row>
    <row r="258" spans="263:267">
      <c r="JC258" s="17"/>
      <c r="JD258" s="17"/>
      <c r="JF258" s="17">
        <f>COUNTIF(E258:DK258,"Present")+(COUNTIF(E258:DK258,"Half Day")*0.5)</f>
        <v>0</v>
      </c>
      <c r="JG258" s="17">
        <f>COUNTIF($E258:$DK258,"Absent")+(COUNTIF($E258:$DK258,"P(Half Day)")*0.5)</f>
        <v>0</v>
      </c>
    </row>
    <row r="259" spans="263:267">
      <c r="JC259" s="17"/>
      <c r="JD259" s="17"/>
      <c r="JF259" s="17">
        <f>COUNTIF(E259:DK259,"Present")+(COUNTIF(E259:DK259,"Half Day")*0.5)</f>
        <v>0</v>
      </c>
      <c r="JG259" s="17">
        <f>COUNTIF($E259:$DK259,"Absent")+(COUNTIF($E259:$DK259,"P(Half Day)")*0.5)</f>
        <v>0</v>
      </c>
    </row>
    <row r="260" spans="263:267">
      <c r="JC260" s="17"/>
      <c r="JD260" s="17"/>
      <c r="JF260" s="17">
        <f>COUNTIF(E260:DK260,"Present")+(COUNTIF(E260:DK260,"Half Day")*0.5)</f>
        <v>0</v>
      </c>
      <c r="JG260" s="17">
        <f>COUNTIF($E260:$DK260,"Absent")+(COUNTIF($E260:$DK260,"P(Half Day)")*0.5)</f>
        <v>0</v>
      </c>
    </row>
    <row r="261" spans="263:267">
      <c r="JC261" s="17"/>
      <c r="JD261" s="17"/>
      <c r="JF261" s="17">
        <f>COUNTIF(E261:DK261,"Present")+(COUNTIF(E261:DK261,"Half Day")*0.5)</f>
        <v>0</v>
      </c>
      <c r="JG261" s="17">
        <f>COUNTIF($E261:$DK261,"Absent")+(COUNTIF($E261:$DK261,"P(Half Day)")*0.5)</f>
        <v>0</v>
      </c>
    </row>
    <row r="262" spans="263:267">
      <c r="JC262" s="17"/>
      <c r="JD262" s="17"/>
      <c r="JF262" s="17">
        <f>COUNTIF(E262:DK262,"Present")+(COUNTIF(E262:DK262,"Half Day")*0.5)</f>
        <v>0</v>
      </c>
      <c r="JG262" s="17">
        <f>COUNTIF($E262:$DK262,"Absent")+(COUNTIF($E262:$DK262,"P(Half Day)")*0.5)</f>
        <v>0</v>
      </c>
    </row>
    <row r="263" spans="263:267">
      <c r="JC263" s="17"/>
      <c r="JD263" s="17"/>
      <c r="JF263" s="17">
        <f>COUNTIF(E263:DK263,"Present")+(COUNTIF(E263:DK263,"Half Day")*0.5)</f>
        <v>0</v>
      </c>
      <c r="JG263" s="17">
        <f>COUNTIF($E263:$DK263,"Absent")+(COUNTIF($E263:$DK263,"P(Half Day)")*0.5)</f>
        <v>0</v>
      </c>
    </row>
    <row r="264" spans="263:267">
      <c r="JC264" s="17"/>
      <c r="JD264" s="17"/>
      <c r="JF264" s="17">
        <f>COUNTIF(E264:DK264,"Present")+(COUNTIF(E264:DK264,"Half Day")*0.5)</f>
        <v>0</v>
      </c>
      <c r="JG264" s="17">
        <f>COUNTIF($E264:$DK264,"Absent")+(COUNTIF($E264:$DK264,"P(Half Day)")*0.5)</f>
        <v>0</v>
      </c>
    </row>
    <row r="265" spans="263:267">
      <c r="JC265" s="17"/>
      <c r="JD265" s="17"/>
      <c r="JF265" s="17">
        <f>COUNTIF(E265:DK265,"Present")+(COUNTIF(E265:DK265,"Half Day")*0.5)</f>
        <v>0</v>
      </c>
      <c r="JG265" s="17">
        <f>COUNTIF($E265:$DK265,"Absent")+(COUNTIF($E265:$DK265,"P(Half Day)")*0.5)</f>
        <v>0</v>
      </c>
    </row>
    <row r="266" spans="263:267">
      <c r="JC266" s="17"/>
      <c r="JD266" s="17"/>
      <c r="JF266" s="17">
        <f>COUNTIF(E266:DK266,"Present")+(COUNTIF(E266:DK266,"Half Day")*0.5)</f>
        <v>0</v>
      </c>
      <c r="JG266" s="17">
        <f>COUNTIF($E266:$DK266,"Absent")+(COUNTIF($E266:$DK266,"P(Half Day)")*0.5)</f>
        <v>0</v>
      </c>
    </row>
    <row r="267" spans="263:267">
      <c r="JC267" s="17"/>
      <c r="JD267" s="17"/>
      <c r="JF267" s="17">
        <f>COUNTIF(E267:DK267,"Present")+(COUNTIF(E267:DK267,"Half Day")*0.5)</f>
        <v>0</v>
      </c>
      <c r="JG267" s="17">
        <f>COUNTIF($E267:$DK267,"Absent")+(COUNTIF($E267:$DK267,"P(Half Day)")*0.5)</f>
        <v>0</v>
      </c>
    </row>
    <row r="268" spans="263:267">
      <c r="JC268" s="17"/>
      <c r="JD268" s="17"/>
      <c r="JF268" s="17">
        <f>COUNTIF(E268:DK268,"Present")+(COUNTIF(E268:DK268,"Half Day")*0.5)</f>
        <v>0</v>
      </c>
      <c r="JG268" s="17">
        <f>COUNTIF($E268:$DK268,"Absent")+(COUNTIF($E268:$DK268,"P(Half Day)")*0.5)</f>
        <v>0</v>
      </c>
    </row>
    <row r="269" spans="263:267">
      <c r="JC269" s="17"/>
      <c r="JD269" s="17"/>
      <c r="JF269" s="17">
        <f>COUNTIF(E269:DK269,"Present")+(COUNTIF(E269:DK269,"Half Day")*0.5)</f>
        <v>0</v>
      </c>
      <c r="JG269" s="17">
        <f>COUNTIF($E269:$DK269,"Absent")+(COUNTIF($E269:$DK269,"P(Half Day)")*0.5)</f>
        <v>0</v>
      </c>
    </row>
    <row r="270" spans="263:267">
      <c r="JC270" s="17"/>
      <c r="JD270" s="17"/>
      <c r="JF270" s="17">
        <f>COUNTIF(E270:DK270,"Present")+(COUNTIF(E270:DK270,"Half Day")*0.5)</f>
        <v>0</v>
      </c>
      <c r="JG270" s="17">
        <f>COUNTIF($E270:$DK270,"Absent")+(COUNTIF($E270:$DK270,"P(Half Day)")*0.5)</f>
        <v>0</v>
      </c>
    </row>
    <row r="271" spans="263:267">
      <c r="JC271" s="17"/>
      <c r="JD271" s="17"/>
      <c r="JF271" s="17">
        <f>COUNTIF(E271:DK271,"Present")+(COUNTIF(E271:DK271,"Half Day")*0.5)</f>
        <v>0</v>
      </c>
      <c r="JG271" s="17">
        <f>COUNTIF($E271:$DK271,"Absent")+(COUNTIF($E271:$DK271,"P(Half Day)")*0.5)</f>
        <v>0</v>
      </c>
    </row>
    <row r="272" spans="263:267">
      <c r="JC272" s="17"/>
      <c r="JD272" s="17"/>
      <c r="JF272" s="17">
        <f>COUNTIF(E272:DK272,"Present")+(COUNTIF(E272:DK272,"Half Day")*0.5)</f>
        <v>0</v>
      </c>
      <c r="JG272" s="17">
        <f>COUNTIF($E272:$DK272,"Absent")+(COUNTIF($E272:$DK272,"P(Half Day)")*0.5)</f>
        <v>0</v>
      </c>
    </row>
    <row r="273" spans="263:267">
      <c r="JC273" s="17"/>
      <c r="JD273" s="17"/>
      <c r="JF273" s="17">
        <f>COUNTIF(E273:DK273,"Present")+(COUNTIF(E273:DK273,"Half Day")*0.5)</f>
        <v>0</v>
      </c>
      <c r="JG273" s="17">
        <f>COUNTIF($E273:$DK273,"Absent")+(COUNTIF($E273:$DK273,"P(Half Day)")*0.5)</f>
        <v>0</v>
      </c>
    </row>
    <row r="274" spans="263:267">
      <c r="JC274" s="17"/>
      <c r="JD274" s="17"/>
      <c r="JF274" s="17">
        <f>COUNTIF(E274:DK274,"Present")+(COUNTIF(E274:DK274,"Half Day")*0.5)</f>
        <v>0</v>
      </c>
      <c r="JG274" s="17">
        <f>COUNTIF($E274:$DK274,"Absent")+(COUNTIF($E274:$DK274,"P(Half Day)")*0.5)</f>
        <v>0</v>
      </c>
    </row>
    <row r="275" spans="263:267">
      <c r="JC275" s="17"/>
      <c r="JD275" s="17"/>
      <c r="JF275" s="17">
        <f>COUNTIF(E275:DK275,"Present")+(COUNTIF(E275:DK275,"Half Day")*0.5)</f>
        <v>0</v>
      </c>
      <c r="JG275" s="17">
        <f>COUNTIF($E275:$DK275,"Absent")+(COUNTIF($E275:$DK275,"P(Half Day)")*0.5)</f>
        <v>0</v>
      </c>
    </row>
    <row r="276" spans="263:267">
      <c r="JC276" s="17"/>
      <c r="JD276" s="17"/>
      <c r="JF276" s="17">
        <f>COUNTIF(E276:DK276,"Present")+(COUNTIF(E276:DK276,"Half Day")*0.5)</f>
        <v>0</v>
      </c>
      <c r="JG276" s="17">
        <f>COUNTIF($E276:$DK276,"Absent")+(COUNTIF($E276:$DK276,"P(Half Day)")*0.5)</f>
        <v>0</v>
      </c>
    </row>
    <row r="277" spans="263:267">
      <c r="JC277" s="17"/>
      <c r="JD277" s="17"/>
      <c r="JF277" s="17">
        <f>COUNTIF(E277:DK277,"Present")+(COUNTIF(E277:DK277,"Half Day")*0.5)</f>
        <v>0</v>
      </c>
      <c r="JG277" s="17">
        <f>COUNTIF($E277:$DK277,"Absent")+(COUNTIF($E277:$DK277,"P(Half Day)")*0.5)</f>
        <v>0</v>
      </c>
    </row>
    <row r="278" spans="263:267">
      <c r="JC278" s="17"/>
      <c r="JD278" s="17"/>
      <c r="JF278" s="17">
        <f>COUNTIF(E278:DK278,"Present")+(COUNTIF(E278:DK278,"Half Day")*0.5)</f>
        <v>0</v>
      </c>
      <c r="JG278" s="17">
        <f>COUNTIF($E278:$DK278,"Absent")+(COUNTIF($E278:$DK278,"P(Half Day)")*0.5)</f>
        <v>0</v>
      </c>
    </row>
    <row r="279" spans="263:267">
      <c r="JC279" s="17"/>
      <c r="JD279" s="17"/>
      <c r="JF279" s="17">
        <f>COUNTIF(E279:DK279,"Present")+(COUNTIF(E279:DK279,"Half Day")*0.5)</f>
        <v>0</v>
      </c>
      <c r="JG279" s="17">
        <f>COUNTIF($E279:$DK279,"Absent")+(COUNTIF($E279:$DK279,"P(Half Day)")*0.5)</f>
        <v>0</v>
      </c>
    </row>
    <row r="280" spans="263:267">
      <c r="JC280" s="17"/>
      <c r="JD280" s="17"/>
      <c r="JF280" s="17">
        <f>COUNTIF(E280:DK280,"Present")+(COUNTIF(E280:DK280,"Half Day")*0.5)</f>
        <v>0</v>
      </c>
      <c r="JG280" s="17">
        <f>COUNTIF($E280:$DK280,"Absent")+(COUNTIF($E280:$DK280,"P(Half Day)")*0.5)</f>
        <v>0</v>
      </c>
    </row>
    <row r="281" spans="263:267">
      <c r="JC281" s="17"/>
      <c r="JD281" s="17"/>
      <c r="JF281" s="17">
        <f>COUNTIF(E281:DK281,"Present")+(COUNTIF(E281:DK281,"Half Day")*0.5)</f>
        <v>0</v>
      </c>
      <c r="JG281" s="17">
        <f>COUNTIF($E281:$DK281,"Absent")+(COUNTIF($E281:$DK281,"P(Half Day)")*0.5)</f>
        <v>0</v>
      </c>
    </row>
    <row r="282" spans="263:267">
      <c r="JC282" s="17"/>
      <c r="JD282" s="17"/>
      <c r="JF282" s="17">
        <f>COUNTIF(E282:DK282,"Present")+(COUNTIF(E282:DK282,"Half Day")*0.5)</f>
        <v>0</v>
      </c>
      <c r="JG282" s="17">
        <f>COUNTIF($E282:$DK282,"Absent")+(COUNTIF($E282:$DK282,"P(Half Day)")*0.5)</f>
        <v>0</v>
      </c>
    </row>
    <row r="283" spans="263:267">
      <c r="JC283" s="17"/>
      <c r="JD283" s="17"/>
      <c r="JF283" s="17">
        <f>COUNTIF(E283:DK283,"Present")+(COUNTIF(E283:DK283,"Half Day")*0.5)</f>
        <v>0</v>
      </c>
      <c r="JG283" s="17">
        <f>COUNTIF($E283:$DK283,"Absent")+(COUNTIF($E283:$DK283,"P(Half Day)")*0.5)</f>
        <v>0</v>
      </c>
    </row>
    <row r="284" spans="263:267">
      <c r="JC284" s="17"/>
      <c r="JD284" s="17"/>
      <c r="JF284" s="17">
        <f>COUNTIF(E284:DK284,"Present")+(COUNTIF(E284:DK284,"Half Day")*0.5)</f>
        <v>0</v>
      </c>
      <c r="JG284" s="17">
        <f>COUNTIF($E284:$DK284,"Absent")+(COUNTIF($E284:$DK284,"P(Half Day)")*0.5)</f>
        <v>0</v>
      </c>
    </row>
    <row r="285" spans="263:267">
      <c r="JC285" s="17"/>
      <c r="JD285" s="17"/>
      <c r="JF285" s="17">
        <f>COUNTIF(E285:DK285,"Present")+(COUNTIF(E285:DK285,"Half Day")*0.5)</f>
        <v>0</v>
      </c>
      <c r="JG285" s="17">
        <f>COUNTIF($E285:$DK285,"Absent")+(COUNTIF($E285:$DK285,"P(Half Day)")*0.5)</f>
        <v>0</v>
      </c>
    </row>
    <row r="286" spans="263:267">
      <c r="JC286" s="17"/>
      <c r="JD286" s="17"/>
      <c r="JF286" s="17">
        <f>COUNTIF(E286:DK286,"Present")+(COUNTIF(E286:DK286,"Half Day")*0.5)</f>
        <v>0</v>
      </c>
      <c r="JG286" s="17">
        <f>COUNTIF($E286:$DK286,"Absent")+(COUNTIF($E286:$DK286,"P(Half Day)")*0.5)</f>
        <v>0</v>
      </c>
    </row>
    <row r="287" spans="263:267">
      <c r="JC287" s="17"/>
      <c r="JD287" s="17"/>
      <c r="JF287" s="17">
        <f>COUNTIF(E287:DK287,"Present")+(COUNTIF(E287:DK287,"Half Day")*0.5)</f>
        <v>0</v>
      </c>
      <c r="JG287" s="17">
        <f>COUNTIF($E287:$DK287,"Absent")+(COUNTIF($E287:$DK287,"P(Half Day)")*0.5)</f>
        <v>0</v>
      </c>
    </row>
    <row r="288" spans="263:267">
      <c r="JC288" s="17"/>
      <c r="JD288" s="17"/>
      <c r="JF288" s="17">
        <f>COUNTIF(E288:DK288,"Present")+(COUNTIF(E288:DK288,"Half Day")*0.5)</f>
        <v>0</v>
      </c>
      <c r="JG288" s="17">
        <f>COUNTIF($E288:$DK288,"Absent")+(COUNTIF($E288:$DK288,"P(Half Day)")*0.5)</f>
        <v>0</v>
      </c>
    </row>
    <row r="289" spans="263:267">
      <c r="JC289" s="17"/>
      <c r="JD289" s="17"/>
      <c r="JF289" s="17">
        <f>COUNTIF(E289:DK289,"Present")+(COUNTIF(E289:DK289,"Half Day")*0.5)</f>
        <v>0</v>
      </c>
      <c r="JG289" s="17">
        <f>COUNTIF($E289:$DK289,"Absent")+(COUNTIF($E289:$DK289,"P(Half Day)")*0.5)</f>
        <v>0</v>
      </c>
    </row>
    <row r="290" spans="263:267">
      <c r="JC290" s="17"/>
      <c r="JD290" s="17"/>
      <c r="JF290" s="17">
        <f>COUNTIF(E290:DK290,"Present")+(COUNTIF(E290:DK290,"Half Day")*0.5)</f>
        <v>0</v>
      </c>
      <c r="JG290" s="17">
        <f>COUNTIF($E290:$DK290,"Absent")+(COUNTIF($E290:$DK290,"P(Half Day)")*0.5)</f>
        <v>0</v>
      </c>
    </row>
    <row r="291" spans="263:267">
      <c r="JC291" s="17"/>
      <c r="JD291" s="17"/>
      <c r="JF291" s="17">
        <f>COUNTIF(E291:DK291,"Present")+(COUNTIF(E291:DK291,"Half Day")*0.5)</f>
        <v>0</v>
      </c>
      <c r="JG291" s="17">
        <f>COUNTIF($E291:$DK291,"Absent")+(COUNTIF($E291:$DK291,"P(Half Day)")*0.5)</f>
        <v>0</v>
      </c>
    </row>
    <row r="292" spans="263:267">
      <c r="JC292" s="17"/>
      <c r="JD292" s="17"/>
      <c r="JF292" s="17">
        <f>COUNTIF(E292:DK292,"Present")+(COUNTIF(E292:DK292,"Half Day")*0.5)</f>
        <v>0</v>
      </c>
      <c r="JG292" s="17">
        <f>COUNTIF($E292:$DK292,"Absent")+(COUNTIF($E292:$DK292,"P(Half Day)")*0.5)</f>
        <v>0</v>
      </c>
    </row>
    <row r="293" spans="263:267">
      <c r="JC293" s="17"/>
      <c r="JD293" s="17"/>
      <c r="JF293" s="17">
        <f>COUNTIF(E293:DK293,"Present")+(COUNTIF(E293:DK293,"Half Day")*0.5)</f>
        <v>0</v>
      </c>
      <c r="JG293" s="17">
        <f>COUNTIF($E293:$DK293,"Absent")+(COUNTIF($E293:$DK293,"P(Half Day)")*0.5)</f>
        <v>0</v>
      </c>
    </row>
    <row r="294" spans="263:267">
      <c r="JC294" s="17"/>
      <c r="JD294" s="17"/>
      <c r="JF294" s="17">
        <f>COUNTIF(E294:DK294,"Present")+(COUNTIF(E294:DK294,"Half Day")*0.5)</f>
        <v>0</v>
      </c>
      <c r="JG294" s="17">
        <f>COUNTIF($E294:$DK294,"Absent")+(COUNTIF($E294:$DK294,"P(Half Day)")*0.5)</f>
        <v>0</v>
      </c>
    </row>
    <row r="295" spans="263:267">
      <c r="JC295" s="17"/>
      <c r="JD295" s="17"/>
      <c r="JF295" s="17">
        <f>COUNTIF(E295:DK295,"Present")+(COUNTIF(E295:DK295,"Half Day")*0.5)</f>
        <v>0</v>
      </c>
      <c r="JG295" s="17">
        <f>COUNTIF($E295:$DK295,"Absent")+(COUNTIF($E295:$DK295,"P(Half Day)")*0.5)</f>
        <v>0</v>
      </c>
    </row>
    <row r="296" spans="263:267">
      <c r="JC296" s="17"/>
      <c r="JD296" s="17"/>
      <c r="JF296" s="17">
        <f>COUNTIF(E296:DK296,"Present")+(COUNTIF(E296:DK296,"Half Day")*0.5)</f>
        <v>0</v>
      </c>
      <c r="JG296" s="17">
        <f>COUNTIF($E296:$DK296,"Absent")+(COUNTIF($E296:$DK296,"P(Half Day)")*0.5)</f>
        <v>0</v>
      </c>
    </row>
    <row r="297" spans="263:267">
      <c r="JC297" s="17"/>
      <c r="JD297" s="17"/>
      <c r="JF297" s="17">
        <f>COUNTIF(E297:DK297,"Present")+(COUNTIF(E297:DK297,"Half Day")*0.5)</f>
        <v>0</v>
      </c>
      <c r="JG297" s="17">
        <f>COUNTIF($E297:$DK297,"Absent")+(COUNTIF($E297:$DK297,"P(Half Day)")*0.5)</f>
        <v>0</v>
      </c>
    </row>
    <row r="298" spans="263:267">
      <c r="JC298" s="17"/>
      <c r="JD298" s="17"/>
      <c r="JF298" s="17">
        <f>COUNTIF(E298:DK298,"Present")+(COUNTIF(E298:DK298,"Half Day")*0.5)</f>
        <v>0</v>
      </c>
      <c r="JG298" s="17">
        <f>COUNTIF($E298:$DK298,"Absent")+(COUNTIF($E298:$DK298,"P(Half Day)")*0.5)</f>
        <v>0</v>
      </c>
    </row>
    <row r="299" spans="263:267">
      <c r="JC299" s="17"/>
      <c r="JD299" s="17"/>
      <c r="JF299" s="17">
        <f>COUNTIF(E299:DK299,"Present")+(COUNTIF(E299:DK299,"Half Day")*0.5)</f>
        <v>0</v>
      </c>
      <c r="JG299" s="17">
        <f>COUNTIF($E299:$DK299,"Absent")+(COUNTIF($E299:$DK299,"P(Half Day)")*0.5)</f>
        <v>0</v>
      </c>
    </row>
    <row r="300" spans="263:267">
      <c r="JC300" s="17"/>
      <c r="JD300" s="17"/>
      <c r="JF300" s="17">
        <f>COUNTIF(E300:DK300,"Present")+(COUNTIF(E300:DK300,"Half Day")*0.5)</f>
        <v>0</v>
      </c>
      <c r="JG300" s="17">
        <f>COUNTIF($E300:$DK300,"Absent")+(COUNTIF($E300:$DK300,"P(Half Day)")*0.5)</f>
        <v>0</v>
      </c>
    </row>
    <row r="301" spans="263:267">
      <c r="JC301" s="17"/>
      <c r="JD301" s="17"/>
      <c r="JF301" s="17">
        <f>COUNTIF(E301:DK301,"Present")+(COUNTIF(E301:DK301,"Half Day")*0.5)</f>
        <v>0</v>
      </c>
      <c r="JG301" s="17">
        <f>COUNTIF($E301:$DK301,"Absent")+(COUNTIF($E301:$DK301,"P(Half Day)")*0.5)</f>
        <v>0</v>
      </c>
    </row>
    <row r="302" spans="263:267">
      <c r="JC302" s="17"/>
      <c r="JD302" s="17"/>
      <c r="JF302" s="17">
        <f>COUNTIF(E302:DK302,"Present")+(COUNTIF(E302:DK302,"Half Day")*0.5)</f>
        <v>0</v>
      </c>
      <c r="JG302" s="17">
        <f>COUNTIF($E302:$DK302,"Absent")+(COUNTIF($E302:$DK302,"P(Half Day)")*0.5)</f>
        <v>0</v>
      </c>
    </row>
    <row r="303" spans="263:267">
      <c r="JC303" s="17"/>
      <c r="JD303" s="17"/>
      <c r="JF303" s="17">
        <f>COUNTIF(E303:DK303,"Present")+(COUNTIF(E303:DK303,"Half Day")*0.5)</f>
        <v>0</v>
      </c>
      <c r="JG303" s="17">
        <f>COUNTIF($E303:$DK303,"Absent")+(COUNTIF($E303:$DK303,"P(Half Day)")*0.5)</f>
        <v>0</v>
      </c>
    </row>
    <row r="304" spans="263:267">
      <c r="JC304" s="17"/>
      <c r="JD304" s="17"/>
      <c r="JF304" s="17">
        <f>COUNTIF(E304:DK304,"Present")+(COUNTIF(E304:DK304,"Half Day")*0.5)</f>
        <v>0</v>
      </c>
      <c r="JG304" s="17">
        <f>COUNTIF($E304:$DK304,"Absent")+(COUNTIF($E304:$DK304,"P(Half Day)")*0.5)</f>
        <v>0</v>
      </c>
    </row>
    <row r="305" spans="263:267">
      <c r="JC305" s="17"/>
      <c r="JD305" s="17"/>
      <c r="JF305" s="17">
        <f>COUNTIF(E305:DK305,"Present")+(COUNTIF(E305:DK305,"Half Day")*0.5)</f>
        <v>0</v>
      </c>
      <c r="JG305" s="17">
        <f>COUNTIF($E305:$DK305,"Absent")+(COUNTIF($E305:$DK305,"P(Half Day)")*0.5)</f>
        <v>0</v>
      </c>
    </row>
    <row r="306" spans="263:267">
      <c r="JC306" s="17"/>
      <c r="JD306" s="17"/>
      <c r="JF306" s="17">
        <f>COUNTIF(E306:DK306,"Present")+(COUNTIF(E306:DK306,"Half Day")*0.5)</f>
        <v>0</v>
      </c>
      <c r="JG306" s="17">
        <f>COUNTIF($E306:$DK306,"Absent")+(COUNTIF($E306:$DK306,"P(Half Day)")*0.5)</f>
        <v>0</v>
      </c>
    </row>
    <row r="307" spans="263:267">
      <c r="JC307" s="17"/>
      <c r="JD307" s="17"/>
      <c r="JF307" s="17">
        <f>COUNTIF(E307:DK307,"Present")+(COUNTIF(E307:DK307,"Half Day")*0.5)</f>
        <v>0</v>
      </c>
      <c r="JG307" s="17">
        <f>COUNTIF($E307:$DK307,"Absent")+(COUNTIF($E307:$DK307,"P(Half Day)")*0.5)</f>
        <v>0</v>
      </c>
    </row>
    <row r="308" spans="263:267">
      <c r="JC308" s="17"/>
      <c r="JD308" s="17"/>
      <c r="JF308" s="17">
        <f>COUNTIF(E308:DK308,"Present")+(COUNTIF(E308:DK308,"Half Day")*0.5)</f>
        <v>0</v>
      </c>
      <c r="JG308" s="17">
        <f>COUNTIF($E308:$DK308,"Absent")+(COUNTIF($E308:$DK308,"P(Half Day)")*0.5)</f>
        <v>0</v>
      </c>
    </row>
    <row r="309" spans="263:267">
      <c r="JC309" s="17"/>
      <c r="JD309" s="17"/>
      <c r="JF309" s="17">
        <f>COUNTIF(E309:DK309,"Present")+(COUNTIF(E309:DK309,"Half Day")*0.5)</f>
        <v>0</v>
      </c>
      <c r="JG309" s="17">
        <f>COUNTIF($E309:$DK309,"Absent")+(COUNTIF($E309:$DK309,"P(Half Day)")*0.5)</f>
        <v>0</v>
      </c>
    </row>
    <row r="310" spans="263:267">
      <c r="JC310" s="17"/>
      <c r="JD310" s="17"/>
      <c r="JF310" s="17">
        <f>COUNTIF(E310:DK310,"Present")+(COUNTIF(E310:DK310,"Half Day")*0.5)</f>
        <v>0</v>
      </c>
      <c r="JG310" s="17">
        <f>COUNTIF($E310:$DK310,"Absent")+(COUNTIF($E310:$DK310,"P(Half Day)")*0.5)</f>
        <v>0</v>
      </c>
    </row>
    <row r="311" spans="263:267">
      <c r="JC311" s="17"/>
      <c r="JD311" s="17"/>
      <c r="JF311" s="17">
        <f>COUNTIF(E311:DK311,"Present")+(COUNTIF(E311:DK311,"Half Day")*0.5)</f>
        <v>0</v>
      </c>
      <c r="JG311" s="17">
        <f>COUNTIF($E311:$DK311,"Absent")+(COUNTIF($E311:$DK311,"P(Half Day)")*0.5)</f>
        <v>0</v>
      </c>
    </row>
    <row r="312" spans="263:267">
      <c r="JC312" s="17"/>
      <c r="JD312" s="17"/>
      <c r="JF312" s="17">
        <f>COUNTIF(E312:DK312,"Present")+(COUNTIF(E312:DK312,"Half Day")*0.5)</f>
        <v>0</v>
      </c>
      <c r="JG312" s="17">
        <f>COUNTIF($E312:$DK312,"Absent")+(COUNTIF($E312:$DK312,"P(Half Day)")*0.5)</f>
        <v>0</v>
      </c>
    </row>
    <row r="313" spans="263:267">
      <c r="JC313" s="17"/>
      <c r="JD313" s="17"/>
      <c r="JF313" s="17">
        <f>COUNTIF(E313:DK313,"Present")+(COUNTIF(E313:DK313,"Half Day")*0.5)</f>
        <v>0</v>
      </c>
      <c r="JG313" s="17">
        <f>COUNTIF($E313:$DK313,"Absent")+(COUNTIF($E313:$DK313,"P(Half Day)")*0.5)</f>
        <v>0</v>
      </c>
    </row>
    <row r="314" spans="263:267">
      <c r="JC314" s="17"/>
      <c r="JD314" s="17"/>
      <c r="JF314" s="17">
        <f>COUNTIF(E314:DK314,"Present")+(COUNTIF(E314:DK314,"Half Day")*0.5)</f>
        <v>0</v>
      </c>
      <c r="JG314" s="17">
        <f>COUNTIF($E314:$DK314,"Absent")+(COUNTIF($E314:$DK314,"P(Half Day)")*0.5)</f>
        <v>0</v>
      </c>
    </row>
    <row r="315" spans="263:267">
      <c r="JC315" s="17"/>
      <c r="JD315" s="17"/>
      <c r="JF315" s="17">
        <f>COUNTIF(E315:DK315,"Present")+(COUNTIF(E315:DK315,"Half Day")*0.5)</f>
        <v>0</v>
      </c>
      <c r="JG315" s="17">
        <f>COUNTIF($E315:$DK315,"Absent")+(COUNTIF($E315:$DK315,"P(Half Day)")*0.5)</f>
        <v>0</v>
      </c>
    </row>
    <row r="316" spans="263:267">
      <c r="JC316" s="17"/>
      <c r="JD316" s="17"/>
      <c r="JF316" s="17">
        <f>COUNTIF(E316:DK316,"Present")+(COUNTIF(E316:DK316,"Half Day")*0.5)</f>
        <v>0</v>
      </c>
      <c r="JG316" s="17">
        <f>COUNTIF($E316:$DK316,"Absent")+(COUNTIF($E316:$DK316,"P(Half Day)")*0.5)</f>
        <v>0</v>
      </c>
    </row>
    <row r="317" spans="263:267">
      <c r="JC317" s="17"/>
      <c r="JD317" s="17"/>
      <c r="JF317" s="17">
        <f>COUNTIF(E317:DK317,"Present")+(COUNTIF(E317:DK317,"Half Day")*0.5)</f>
        <v>0</v>
      </c>
      <c r="JG317" s="17">
        <f>COUNTIF($E317:$DK317,"Absent")+(COUNTIF($E317:$DK317,"P(Half Day)")*0.5)</f>
        <v>0</v>
      </c>
    </row>
    <row r="318" spans="263:267">
      <c r="JC318" s="17"/>
      <c r="JD318" s="17"/>
      <c r="JF318" s="17">
        <f>COUNTIF(E318:DK318,"Present")+(COUNTIF(E318:DK318,"Half Day")*0.5)</f>
        <v>0</v>
      </c>
      <c r="JG318" s="17">
        <f>COUNTIF($E318:$DK318,"Absent")+(COUNTIF($E318:$DK318,"P(Half Day)")*0.5)</f>
        <v>0</v>
      </c>
    </row>
    <row r="319" spans="263:267">
      <c r="JC319" s="17"/>
      <c r="JD319" s="17"/>
      <c r="JF319" s="17">
        <f>COUNTIF(E319:DK319,"Present")+(COUNTIF(E319:DK319,"Half Day")*0.5)</f>
        <v>0</v>
      </c>
      <c r="JG319" s="17">
        <f>COUNTIF($E319:$DK319,"Absent")+(COUNTIF($E319:$DK319,"P(Half Day)")*0.5)</f>
        <v>0</v>
      </c>
    </row>
    <row r="320" spans="263:267">
      <c r="JC320" s="17"/>
      <c r="JD320" s="17"/>
      <c r="JF320" s="17">
        <f>COUNTIF(E320:DK320,"Present")+(COUNTIF(E320:DK320,"Half Day")*0.5)</f>
        <v>0</v>
      </c>
      <c r="JG320" s="17">
        <f>COUNTIF($E320:$DK320,"Absent")+(COUNTIF($E320:$DK320,"P(Half Day)")*0.5)</f>
        <v>0</v>
      </c>
    </row>
    <row r="321" spans="263:267">
      <c r="JC321" s="17"/>
      <c r="JD321" s="17"/>
      <c r="JF321" s="17">
        <f>COUNTIF(E321:DK321,"Present")+(COUNTIF(E321:DK321,"Half Day")*0.5)</f>
        <v>0</v>
      </c>
      <c r="JG321" s="17">
        <f>COUNTIF($E321:$DK321,"Absent")+(COUNTIF($E321:$DK321,"P(Half Day)")*0.5)</f>
        <v>0</v>
      </c>
    </row>
    <row r="322" spans="263:267">
      <c r="JC322" s="17"/>
      <c r="JD322" s="17"/>
      <c r="JF322" s="17">
        <f>COUNTIF(E322:DK322,"Present")+(COUNTIF(E322:DK322,"Half Day")*0.5)</f>
        <v>0</v>
      </c>
      <c r="JG322" s="17">
        <f>COUNTIF($E322:$DK322,"Absent")+(COUNTIF($E322:$DK322,"P(Half Day)")*0.5)</f>
        <v>0</v>
      </c>
    </row>
    <row r="323" spans="263:267">
      <c r="JC323" s="17"/>
      <c r="JD323" s="17"/>
      <c r="JF323" s="17">
        <f>COUNTIF(E323:DK323,"Present")+(COUNTIF(E323:DK323,"Half Day")*0.5)</f>
        <v>0</v>
      </c>
      <c r="JG323" s="17">
        <f>COUNTIF($E323:$DK323,"Absent")+(COUNTIF($E323:$DK323,"P(Half Day)")*0.5)</f>
        <v>0</v>
      </c>
    </row>
    <row r="324" spans="263:267">
      <c r="JC324" s="17"/>
      <c r="JD324" s="17"/>
      <c r="JF324" s="17">
        <f>COUNTIF(E324:DK324,"Present")+(COUNTIF(E324:DK324,"Half Day")*0.5)</f>
        <v>0</v>
      </c>
      <c r="JG324" s="17">
        <f>COUNTIF($E324:$DK324,"Absent")+(COUNTIF($E324:$DK324,"P(Half Day)")*0.5)</f>
        <v>0</v>
      </c>
    </row>
    <row r="325" spans="263:267">
      <c r="JC325" s="17"/>
      <c r="JD325" s="17"/>
      <c r="JF325" s="17">
        <f>COUNTIF(E325:DK325,"Present")+(COUNTIF(E325:DK325,"Half Day")*0.5)</f>
        <v>0</v>
      </c>
      <c r="JG325" s="17">
        <f>COUNTIF($E325:$DK325,"Absent")+(COUNTIF($E325:$DK325,"P(Half Day)")*0.5)</f>
        <v>0</v>
      </c>
    </row>
    <row r="326" spans="263:267">
      <c r="JC326" s="17"/>
      <c r="JD326" s="17"/>
      <c r="JF326" s="17">
        <f>COUNTIF(E326:DK326,"Present")+(COUNTIF(E326:DK326,"Half Day")*0.5)</f>
        <v>0</v>
      </c>
      <c r="JG326" s="17">
        <f>COUNTIF($E326:$DK326,"Absent")+(COUNTIF($E326:$DK326,"P(Half Day)")*0.5)</f>
        <v>0</v>
      </c>
    </row>
    <row r="327" spans="263:267">
      <c r="JC327" s="17"/>
      <c r="JD327" s="17"/>
      <c r="JF327" s="17">
        <f>COUNTIF(E327:DK327,"Present")+(COUNTIF(E327:DK327,"Half Day")*0.5)</f>
        <v>0</v>
      </c>
      <c r="JG327" s="17">
        <f>COUNTIF($E327:$DK327,"Absent")+(COUNTIF($E327:$DK327,"P(Half Day)")*0.5)</f>
        <v>0</v>
      </c>
    </row>
    <row r="328" spans="263:267">
      <c r="JC328" s="17"/>
      <c r="JD328" s="17"/>
      <c r="JF328" s="17">
        <f>COUNTIF(E328:DK328,"Present")+(COUNTIF(E328:DK328,"Half Day")*0.5)</f>
        <v>0</v>
      </c>
      <c r="JG328" s="17">
        <f>COUNTIF($E328:$DK328,"Absent")+(COUNTIF($E328:$DK328,"P(Half Day)")*0.5)</f>
        <v>0</v>
      </c>
    </row>
    <row r="329" spans="263:267">
      <c r="JC329" s="17"/>
      <c r="JD329" s="17"/>
      <c r="JF329" s="17">
        <f>COUNTIF(E329:DK329,"Present")+(COUNTIF(E329:DK329,"Half Day")*0.5)</f>
        <v>0</v>
      </c>
      <c r="JG329" s="17">
        <f>COUNTIF($E329:$DK329,"Absent")+(COUNTIF($E329:$DK329,"P(Half Day)")*0.5)</f>
        <v>0</v>
      </c>
    </row>
    <row r="330" spans="263:267">
      <c r="JC330" s="17"/>
      <c r="JD330" s="17"/>
      <c r="JF330" s="17">
        <f>COUNTIF(E330:DK330,"Present")+(COUNTIF(E330:DK330,"Half Day")*0.5)</f>
        <v>0</v>
      </c>
      <c r="JG330" s="17">
        <f>COUNTIF($E330:$DK330,"Absent")+(COUNTIF($E330:$DK330,"P(Half Day)")*0.5)</f>
        <v>0</v>
      </c>
    </row>
    <row r="331" spans="263:267">
      <c r="JC331" s="17"/>
      <c r="JD331" s="17"/>
      <c r="JF331" s="17">
        <f>COUNTIF(E331:DK331,"Present")+(COUNTIF(E331:DK331,"Half Day")*0.5)</f>
        <v>0</v>
      </c>
      <c r="JG331" s="17">
        <f>COUNTIF($E331:$DK331,"Absent")+(COUNTIF($E331:$DK331,"P(Half Day)")*0.5)</f>
        <v>0</v>
      </c>
    </row>
    <row r="332" spans="263:267">
      <c r="JC332" s="17"/>
      <c r="JD332" s="17"/>
      <c r="JF332" s="17">
        <f>COUNTIF(E332:DK332,"Present")+(COUNTIF(E332:DK332,"Half Day")*0.5)</f>
        <v>0</v>
      </c>
      <c r="JG332" s="17">
        <f>COUNTIF($E332:$DK332,"Absent")+(COUNTIF($E332:$DK332,"P(Half Day)")*0.5)</f>
        <v>0</v>
      </c>
    </row>
    <row r="333" spans="263:267">
      <c r="JC333" s="17"/>
      <c r="JD333" s="17"/>
      <c r="JF333" s="17">
        <f>COUNTIF(E333:DK333,"Present")+(COUNTIF(E333:DK333,"Half Day")*0.5)</f>
        <v>0</v>
      </c>
      <c r="JG333" s="17">
        <f>COUNTIF($E333:$DK333,"Absent")+(COUNTIF($E333:$DK333,"P(Half Day)")*0.5)</f>
        <v>0</v>
      </c>
    </row>
    <row r="334" spans="263:267">
      <c r="JC334" s="17"/>
      <c r="JD334" s="17"/>
      <c r="JF334" s="17">
        <f>COUNTIF(E334:DK334,"Present")+(COUNTIF(E334:DK334,"Half Day")*0.5)</f>
        <v>0</v>
      </c>
      <c r="JG334" s="17">
        <f>COUNTIF($E334:$DK334,"Absent")+(COUNTIF($E334:$DK334,"P(Half Day)")*0.5)</f>
        <v>0</v>
      </c>
    </row>
    <row r="335" spans="263:267">
      <c r="JC335" s="17"/>
      <c r="JD335" s="17"/>
      <c r="JF335" s="17">
        <f>COUNTIF(E335:DK335,"Present")+(COUNTIF(E335:DK335,"Half Day")*0.5)</f>
        <v>0</v>
      </c>
      <c r="JG335" s="17">
        <f>COUNTIF($E335:$DK335,"Absent")+(COUNTIF($E335:$DK335,"P(Half Day)")*0.5)</f>
        <v>0</v>
      </c>
    </row>
    <row r="336" spans="263:267">
      <c r="JC336" s="17"/>
      <c r="JD336" s="17"/>
      <c r="JF336" s="17">
        <f>COUNTIF(E336:DK336,"Present")+(COUNTIF(E336:DK336,"Half Day")*0.5)</f>
        <v>0</v>
      </c>
      <c r="JG336" s="17">
        <f>COUNTIF($E336:$DK336,"Absent")+(COUNTIF($E336:$DK336,"P(Half Day)")*0.5)</f>
        <v>0</v>
      </c>
    </row>
    <row r="337" spans="263:267">
      <c r="JC337" s="17"/>
      <c r="JD337" s="17"/>
      <c r="JF337" s="17">
        <f>COUNTIF(E337:DK337,"Present")+(COUNTIF(E337:DK337,"Half Day")*0.5)</f>
        <v>0</v>
      </c>
      <c r="JG337" s="17">
        <f>COUNTIF($E337:$DK337,"Absent")+(COUNTIF($E337:$DK337,"P(Half Day)")*0.5)</f>
        <v>0</v>
      </c>
    </row>
    <row r="338" spans="263:267">
      <c r="JC338" s="17"/>
      <c r="JD338" s="17"/>
      <c r="JF338" s="17">
        <f>COUNTIF(E338:DK338,"Present")+(COUNTIF(E338:DK338,"Half Day")*0.5)</f>
        <v>0</v>
      </c>
      <c r="JG338" s="17">
        <f>COUNTIF($E338:$DK338,"Absent")+(COUNTIF($E338:$DK338,"P(Half Day)")*0.5)</f>
        <v>0</v>
      </c>
    </row>
    <row r="339" spans="263:267">
      <c r="JC339" s="17"/>
      <c r="JD339" s="17"/>
      <c r="JF339" s="17">
        <f>COUNTIF(E339:DK339,"Present")+(COUNTIF(E339:DK339,"Half Day")*0.5)</f>
        <v>0</v>
      </c>
      <c r="JG339" s="17">
        <f>COUNTIF($E339:$DK339,"Absent")+(COUNTIF($E339:$DK339,"P(Half Day)")*0.5)</f>
        <v>0</v>
      </c>
    </row>
    <row r="340" spans="263:267">
      <c r="JC340" s="17"/>
      <c r="JD340" s="17"/>
      <c r="JF340" s="17">
        <f>COUNTIF(E340:DK340,"Present")+(COUNTIF(E340:DK340,"Half Day")*0.5)</f>
        <v>0</v>
      </c>
      <c r="JG340" s="17">
        <f>COUNTIF($E340:$DK340,"Absent")+(COUNTIF($E340:$DK340,"P(Half Day)")*0.5)</f>
        <v>0</v>
      </c>
    </row>
    <row r="341" spans="263:267">
      <c r="JC341" s="17"/>
      <c r="JD341" s="17"/>
      <c r="JF341" s="17">
        <f>COUNTIF(E341:DK341,"Present")+(COUNTIF(E341:DK341,"Half Day")*0.5)</f>
        <v>0</v>
      </c>
      <c r="JG341" s="17">
        <f>COUNTIF($E341:$DK341,"Absent")+(COUNTIF($E341:$DK341,"P(Half Day)")*0.5)</f>
        <v>0</v>
      </c>
    </row>
    <row r="342" spans="263:267">
      <c r="JC342" s="17"/>
      <c r="JD342" s="17"/>
      <c r="JF342" s="17">
        <f>COUNTIF(E342:DK342,"Present")+(COUNTIF(E342:DK342,"Half Day")*0.5)</f>
        <v>0</v>
      </c>
      <c r="JG342" s="17">
        <f>COUNTIF($E342:$DK342,"Absent")+(COUNTIF($E342:$DK342,"P(Half Day)")*0.5)</f>
        <v>0</v>
      </c>
    </row>
    <row r="343" spans="263:267">
      <c r="JC343" s="17"/>
      <c r="JD343" s="17"/>
      <c r="JF343" s="17">
        <f>COUNTIF(E343:DK343,"Present")+(COUNTIF(E343:DK343,"Half Day")*0.5)</f>
        <v>0</v>
      </c>
      <c r="JG343" s="17">
        <f>COUNTIF($E343:$DK343,"Absent")+(COUNTIF($E343:$DK343,"P(Half Day)")*0.5)</f>
        <v>0</v>
      </c>
    </row>
    <row r="344" spans="263:267">
      <c r="JC344" s="17"/>
      <c r="JD344" s="17"/>
      <c r="JF344" s="17">
        <f>COUNTIF(E344:DK344,"Present")+(COUNTIF(E344:DK344,"Half Day")*0.5)</f>
        <v>0</v>
      </c>
      <c r="JG344" s="17">
        <f>COUNTIF($E344:$DK344,"Absent")+(COUNTIF($E344:$DK344,"P(Half Day)")*0.5)</f>
        <v>0</v>
      </c>
    </row>
    <row r="345" spans="263:267">
      <c r="JC345" s="17"/>
      <c r="JD345" s="17"/>
      <c r="JF345" s="17">
        <f>COUNTIF(E345:DK345,"Present")+(COUNTIF(E345:DK345,"Half Day")*0.5)</f>
        <v>0</v>
      </c>
      <c r="JG345" s="17">
        <f>COUNTIF($E345:$DK345,"Absent")+(COUNTIF($E345:$DK345,"P(Half Day)")*0.5)</f>
        <v>0</v>
      </c>
    </row>
    <row r="346" spans="263:267">
      <c r="JC346" s="17"/>
      <c r="JD346" s="17"/>
      <c r="JF346" s="17">
        <f>COUNTIF(E346:DK346,"Present")+(COUNTIF(E346:DK346,"Half Day")*0.5)</f>
        <v>0</v>
      </c>
      <c r="JG346" s="17">
        <f>COUNTIF($E346:$DK346,"Absent")+(COUNTIF($E346:$DK346,"P(Half Day)")*0.5)</f>
        <v>0</v>
      </c>
    </row>
    <row r="347" spans="263:267">
      <c r="JC347" s="17"/>
      <c r="JD347" s="17"/>
      <c r="JF347" s="17">
        <f>COUNTIF(E347:DK347,"Present")+(COUNTIF(E347:DK347,"Half Day")*0.5)</f>
        <v>0</v>
      </c>
      <c r="JG347" s="17">
        <f>COUNTIF($E347:$DK347,"Absent")+(COUNTIF($E347:$DK347,"P(Half Day)")*0.5)</f>
        <v>0</v>
      </c>
    </row>
    <row r="348" spans="263:267">
      <c r="JC348" s="17"/>
      <c r="JD348" s="17"/>
      <c r="JF348" s="17">
        <f>COUNTIF(E348:DK348,"Present")+(COUNTIF(E348:DK348,"Half Day")*0.5)</f>
        <v>0</v>
      </c>
      <c r="JG348" s="17">
        <f>COUNTIF($E348:$DK348,"Absent")+(COUNTIF($E348:$DK348,"P(Half Day)")*0.5)</f>
        <v>0</v>
      </c>
    </row>
    <row r="349" spans="263:267">
      <c r="JC349" s="17"/>
      <c r="JD349" s="17"/>
      <c r="JF349" s="17">
        <f>COUNTIF(E349:DK349,"Present")+(COUNTIF(E349:DK349,"Half Day")*0.5)</f>
        <v>0</v>
      </c>
      <c r="JG349" s="17">
        <f>COUNTIF($E349:$DK349,"Absent")+(COUNTIF($E349:$DK349,"P(Half Day)")*0.5)</f>
        <v>0</v>
      </c>
    </row>
    <row r="350" spans="263:267">
      <c r="JC350" s="17"/>
      <c r="JD350" s="17"/>
      <c r="JF350" s="17">
        <f>COUNTIF(E350:DK350,"Present")+(COUNTIF(E350:DK350,"Half Day")*0.5)</f>
        <v>0</v>
      </c>
      <c r="JG350" s="17">
        <f>COUNTIF($E350:$DK350,"Absent")+(COUNTIF($E350:$DK350,"P(Half Day)")*0.5)</f>
        <v>0</v>
      </c>
    </row>
    <row r="351" spans="263:267">
      <c r="JC351" s="17"/>
      <c r="JD351" s="17"/>
      <c r="JF351" s="17">
        <f>COUNTIF(E351:DK351,"Present")+(COUNTIF(E351:DK351,"Half Day")*0.5)</f>
        <v>0</v>
      </c>
      <c r="JG351" s="17">
        <f>COUNTIF($E351:$DK351,"Absent")+(COUNTIF($E351:$DK351,"P(Half Day)")*0.5)</f>
        <v>0</v>
      </c>
    </row>
    <row r="352" spans="263:267">
      <c r="JC352" s="17"/>
      <c r="JD352" s="17"/>
      <c r="JF352" s="17">
        <f>COUNTIF(E352:DK352,"Present")+(COUNTIF(E352:DK352,"Half Day")*0.5)</f>
        <v>0</v>
      </c>
      <c r="JG352" s="17">
        <f>COUNTIF($E352:$DK352,"Absent")+(COUNTIF($E352:$DK352,"P(Half Day)")*0.5)</f>
        <v>0</v>
      </c>
    </row>
    <row r="353" spans="263:267">
      <c r="JC353" s="17"/>
      <c r="JD353" s="17"/>
      <c r="JF353" s="17">
        <f>COUNTIF(E353:DK353,"Present")+(COUNTIF(E353:DK353,"Half Day")*0.5)</f>
        <v>0</v>
      </c>
      <c r="JG353" s="17">
        <f>COUNTIF($E353:$DK353,"Absent")+(COUNTIF($E353:$DK353,"P(Half Day)")*0.5)</f>
        <v>0</v>
      </c>
    </row>
    <row r="354" spans="263:267">
      <c r="JC354" s="17"/>
      <c r="JD354" s="17"/>
      <c r="JF354" s="17">
        <f>COUNTIF(E354:DK354,"Present")+(COUNTIF(E354:DK354,"Half Day")*0.5)</f>
        <v>0</v>
      </c>
      <c r="JG354" s="17">
        <f>COUNTIF($E354:$DK354,"Absent")+(COUNTIF($E354:$DK354,"P(Half Day)")*0.5)</f>
        <v>0</v>
      </c>
    </row>
    <row r="355" spans="263:267">
      <c r="JC355" s="17"/>
      <c r="JD355" s="17"/>
      <c r="JF355" s="17">
        <f>COUNTIF(E355:DK355,"Present")+(COUNTIF(E355:DK355,"Half Day")*0.5)</f>
        <v>0</v>
      </c>
      <c r="JG355" s="17">
        <f>COUNTIF($E355:$DK355,"Absent")+(COUNTIF($E355:$DK355,"P(Half Day)")*0.5)</f>
        <v>0</v>
      </c>
    </row>
    <row r="356" spans="263:267">
      <c r="JC356" s="17"/>
      <c r="JD356" s="17"/>
      <c r="JF356" s="17">
        <f>COUNTIF(E356:DK356,"Present")+(COUNTIF(E356:DK356,"Half Day")*0.5)</f>
        <v>0</v>
      </c>
      <c r="JG356" s="17">
        <f>COUNTIF($E356:$DK356,"Absent")+(COUNTIF($E356:$DK356,"P(Half Day)")*0.5)</f>
        <v>0</v>
      </c>
    </row>
    <row r="357" spans="263:267">
      <c r="JC357" s="17"/>
      <c r="JD357" s="17"/>
      <c r="JF357" s="17">
        <f>COUNTIF(E357:DK357,"Present")+(COUNTIF(E357:DK357,"Half Day")*0.5)</f>
        <v>0</v>
      </c>
      <c r="JG357" s="17">
        <f>COUNTIF($E357:$DK357,"Absent")+(COUNTIF($E357:$DK357,"P(Half Day)")*0.5)</f>
        <v>0</v>
      </c>
    </row>
    <row r="358" spans="263:267">
      <c r="JC358" s="17"/>
      <c r="JD358" s="17"/>
      <c r="JF358" s="17">
        <f>COUNTIF(E358:DK358,"Present")+(COUNTIF(E358:DK358,"Half Day")*0.5)</f>
        <v>0</v>
      </c>
      <c r="JG358" s="17">
        <f>COUNTIF($E358:$DK358,"Absent")+(COUNTIF($E358:$DK358,"P(Half Day)")*0.5)</f>
        <v>0</v>
      </c>
    </row>
    <row r="359" spans="263:267">
      <c r="JC359" s="17"/>
      <c r="JD359" s="17"/>
      <c r="JF359" s="17">
        <f>COUNTIF(E359:DK359,"Present")+(COUNTIF(E359:DK359,"Half Day")*0.5)</f>
        <v>0</v>
      </c>
      <c r="JG359" s="17">
        <f>COUNTIF($E359:$DK359,"Absent")+(COUNTIF($E359:$DK359,"P(Half Day)")*0.5)</f>
        <v>0</v>
      </c>
    </row>
    <row r="360" spans="263:267">
      <c r="JC360" s="17"/>
      <c r="JD360" s="17"/>
      <c r="JF360" s="17">
        <f>COUNTIF(E360:DK360,"Present")+(COUNTIF(E360:DK360,"Half Day")*0.5)</f>
        <v>0</v>
      </c>
      <c r="JG360" s="17">
        <f>COUNTIF($E360:$DK360,"Absent")+(COUNTIF($E360:$DK360,"P(Half Day)")*0.5)</f>
        <v>0</v>
      </c>
    </row>
    <row r="361" spans="263:267">
      <c r="JC361" s="17"/>
      <c r="JD361" s="17"/>
      <c r="JF361" s="17">
        <f>COUNTIF(E361:DK361,"Present")+(COUNTIF(E361:DK361,"Half Day")*0.5)</f>
        <v>0</v>
      </c>
      <c r="JG361" s="17">
        <f>COUNTIF($E361:$DK361,"Absent")+(COUNTIF($E361:$DK361,"P(Half Day)")*0.5)</f>
        <v>0</v>
      </c>
    </row>
    <row r="362" spans="263:267">
      <c r="JC362" s="17"/>
      <c r="JD362" s="17"/>
      <c r="JF362" s="17">
        <f>COUNTIF(E362:DK362,"Present")+(COUNTIF(E362:DK362,"Half Day")*0.5)</f>
        <v>0</v>
      </c>
      <c r="JG362" s="17">
        <f>COUNTIF($E362:$DK362,"Absent")+(COUNTIF($E362:$DK362,"P(Half Day)")*0.5)</f>
        <v>0</v>
      </c>
    </row>
    <row r="363" spans="263:267">
      <c r="JC363" s="17"/>
      <c r="JD363" s="17"/>
      <c r="JF363" s="17">
        <f>COUNTIF(E363:DK363,"Present")+(COUNTIF(E363:DK363,"Half Day")*0.5)</f>
        <v>0</v>
      </c>
      <c r="JG363" s="17">
        <f>COUNTIF($E363:$DK363,"Absent")+(COUNTIF($E363:$DK363,"P(Half Day)")*0.5)</f>
        <v>0</v>
      </c>
    </row>
    <row r="364" spans="263:267">
      <c r="JC364" s="17"/>
      <c r="JD364" s="17"/>
      <c r="JF364" s="17">
        <f>COUNTIF(E364:DK364,"Present")+(COUNTIF(E364:DK364,"Half Day")*0.5)</f>
        <v>0</v>
      </c>
      <c r="JG364" s="17">
        <f>COUNTIF($E364:$DK364,"Absent")+(COUNTIF($E364:$DK364,"P(Half Day)")*0.5)</f>
        <v>0</v>
      </c>
    </row>
    <row r="365" spans="263:267">
      <c r="JC365" s="17"/>
      <c r="JD365" s="17"/>
      <c r="JF365" s="17">
        <f>COUNTIF(E365:DK365,"Present")+(COUNTIF(E365:DK365,"Half Day")*0.5)</f>
        <v>0</v>
      </c>
      <c r="JG365" s="17">
        <f>COUNTIF($E365:$DK365,"Absent")+(COUNTIF($E365:$DK365,"P(Half Day)")*0.5)</f>
        <v>0</v>
      </c>
    </row>
    <row r="366" spans="263:267">
      <c r="JC366" s="17"/>
      <c r="JD366" s="17"/>
      <c r="JF366" s="17">
        <f>COUNTIF(E366:DK366,"Present")+(COUNTIF(E366:DK366,"Half Day")*0.5)</f>
        <v>0</v>
      </c>
      <c r="JG366" s="17">
        <f>COUNTIF($E366:$DK366,"Absent")+(COUNTIF($E366:$DK366,"P(Half Day)")*0.5)</f>
        <v>0</v>
      </c>
    </row>
    <row r="367" spans="263:267">
      <c r="JC367" s="17"/>
      <c r="JD367" s="17"/>
      <c r="JF367" s="17">
        <f>COUNTIF(E367:DK367,"Present")+(COUNTIF(E367:DK367,"Half Day")*0.5)</f>
        <v>0</v>
      </c>
      <c r="JG367" s="17">
        <f>COUNTIF($E367:$DK367,"Absent")+(COUNTIF($E367:$DK367,"P(Half Day)")*0.5)</f>
        <v>0</v>
      </c>
    </row>
    <row r="368" spans="263:267">
      <c r="JC368" s="17"/>
      <c r="JD368" s="17"/>
      <c r="JF368" s="17">
        <f>COUNTIF(E368:DK368,"Present")+(COUNTIF(E368:DK368,"Half Day")*0.5)</f>
        <v>0</v>
      </c>
      <c r="JG368" s="17">
        <f>COUNTIF($E368:$DK368,"Absent")+(COUNTIF($E368:$DK368,"P(Half Day)")*0.5)</f>
        <v>0</v>
      </c>
    </row>
    <row r="369" spans="263:267">
      <c r="JC369" s="17"/>
      <c r="JD369" s="17"/>
      <c r="JF369" s="17">
        <f>COUNTIF(E369:DK369,"Present")+(COUNTIF(E369:DK369,"Half Day")*0.5)</f>
        <v>0</v>
      </c>
      <c r="JG369" s="17">
        <f>COUNTIF($E369:$DK369,"Absent")+(COUNTIF($E369:$DK369,"P(Half Day)")*0.5)</f>
        <v>0</v>
      </c>
    </row>
    <row r="370" spans="263:267">
      <c r="JC370" s="17"/>
      <c r="JD370" s="17"/>
      <c r="JF370" s="17">
        <f>COUNTIF(E370:DK370,"Present")+(COUNTIF(E370:DK370,"Half Day")*0.5)</f>
        <v>0</v>
      </c>
      <c r="JG370" s="17">
        <f>COUNTIF($E370:$DK370,"Absent")+(COUNTIF($E370:$DK370,"P(Half Day)")*0.5)</f>
        <v>0</v>
      </c>
    </row>
    <row r="371" spans="263:267">
      <c r="JC371" s="17"/>
      <c r="JD371" s="17"/>
      <c r="JF371" s="17">
        <f>COUNTIF(E371:DK371,"Present")+(COUNTIF(E371:DK371,"Half Day")*0.5)</f>
        <v>0</v>
      </c>
      <c r="JG371" s="17">
        <f>COUNTIF($E371:$DK371,"Absent")+(COUNTIF($E371:$DK371,"P(Half Day)")*0.5)</f>
        <v>0</v>
      </c>
    </row>
    <row r="372" spans="263:267">
      <c r="JC372" s="17"/>
      <c r="JD372" s="17"/>
      <c r="JF372" s="17">
        <f>COUNTIF(E372:DK372,"Present")+(COUNTIF(E372:DK372,"Half Day")*0.5)</f>
        <v>0</v>
      </c>
      <c r="JG372" s="17">
        <f>COUNTIF($E372:$DK372,"Absent")+(COUNTIF($E372:$DK372,"P(Half Day)")*0.5)</f>
        <v>0</v>
      </c>
    </row>
    <row r="373" spans="263:267">
      <c r="JC373" s="17"/>
      <c r="JD373" s="17"/>
      <c r="JF373" s="17">
        <f>COUNTIF(E373:DK373,"Present")+(COUNTIF(E373:DK373,"Half Day")*0.5)</f>
        <v>0</v>
      </c>
      <c r="JG373" s="17">
        <f>COUNTIF($E373:$DK373,"Absent")+(COUNTIF($E373:$DK373,"P(Half Day)")*0.5)</f>
        <v>0</v>
      </c>
    </row>
    <row r="374" spans="263:267">
      <c r="JC374" s="17"/>
      <c r="JD374" s="17"/>
      <c r="JF374" s="17">
        <f>COUNTIF(E374:DK374,"Present")+(COUNTIF(E374:DK374,"Half Day")*0.5)</f>
        <v>0</v>
      </c>
      <c r="JG374" s="17">
        <f>COUNTIF($E374:$DK374,"Absent")+(COUNTIF($E374:$DK374,"P(Half Day)")*0.5)</f>
        <v>0</v>
      </c>
    </row>
    <row r="375" spans="263:267">
      <c r="JC375" s="17"/>
      <c r="JD375" s="17"/>
      <c r="JF375" s="17">
        <f>COUNTIF(E375:DK375,"Present")+(COUNTIF(E375:DK375,"Half Day")*0.5)</f>
        <v>0</v>
      </c>
      <c r="JG375" s="17">
        <f>COUNTIF($E375:$DK375,"Absent")+(COUNTIF($E375:$DK375,"P(Half Day)")*0.5)</f>
        <v>0</v>
      </c>
    </row>
    <row r="376" spans="263:267">
      <c r="JC376" s="17"/>
      <c r="JD376" s="17"/>
      <c r="JF376" s="17">
        <f>COUNTIF(E376:DK376,"Present")+(COUNTIF(E376:DK376,"Half Day")*0.5)</f>
        <v>0</v>
      </c>
      <c r="JG376" s="17">
        <f>COUNTIF($E376:$DK376,"Absent")+(COUNTIF($E376:$DK376,"P(Half Day)")*0.5)</f>
        <v>0</v>
      </c>
    </row>
    <row r="377" spans="263:267">
      <c r="JC377" s="17"/>
      <c r="JD377" s="17"/>
      <c r="JF377" s="17">
        <f>COUNTIF(E377:DK377,"Present")+(COUNTIF(E377:DK377,"Half Day")*0.5)</f>
        <v>0</v>
      </c>
      <c r="JG377" s="17">
        <f>COUNTIF($E377:$DK377,"Absent")+(COUNTIF($E377:$DK377,"P(Half Day)")*0.5)</f>
        <v>0</v>
      </c>
    </row>
    <row r="378" spans="263:267">
      <c r="JC378" s="17"/>
      <c r="JD378" s="17"/>
      <c r="JF378" s="17">
        <f>COUNTIF(E378:DK378,"Present")+(COUNTIF(E378:DK378,"Half Day")*0.5)</f>
        <v>0</v>
      </c>
      <c r="JG378" s="17">
        <f>COUNTIF($E378:$DK378,"Absent")+(COUNTIF($E378:$DK378,"P(Half Day)")*0.5)</f>
        <v>0</v>
      </c>
    </row>
    <row r="379" spans="263:267">
      <c r="JC379" s="17"/>
      <c r="JD379" s="17"/>
      <c r="JF379" s="17">
        <f>COUNTIF(E379:DK379,"Present")+(COUNTIF(E379:DK379,"Half Day")*0.5)</f>
        <v>0</v>
      </c>
      <c r="JG379" s="17">
        <f>COUNTIF($E379:$DK379,"Absent")+(COUNTIF($E379:$DK379,"P(Half Day)")*0.5)</f>
        <v>0</v>
      </c>
    </row>
    <row r="380" spans="263:267">
      <c r="JC380" s="17"/>
      <c r="JD380" s="17"/>
      <c r="JF380" s="17">
        <f>COUNTIF(E380:DK380,"Present")+(COUNTIF(E380:DK380,"Half Day")*0.5)</f>
        <v>0</v>
      </c>
      <c r="JG380" s="17">
        <f>COUNTIF($E380:$DK380,"Absent")+(COUNTIF($E380:$DK380,"P(Half Day)")*0.5)</f>
        <v>0</v>
      </c>
    </row>
    <row r="381" spans="263:267">
      <c r="JC381" s="17"/>
      <c r="JD381" s="17"/>
      <c r="JF381" s="17">
        <f>COUNTIF(E381:DK381,"Present")+(COUNTIF(E381:DK381,"Half Day")*0.5)</f>
        <v>0</v>
      </c>
      <c r="JG381" s="17">
        <f>COUNTIF($E381:$DK381,"Absent")+(COUNTIF($E381:$DK381,"P(Half Day)")*0.5)</f>
        <v>0</v>
      </c>
    </row>
    <row r="382" spans="263:267">
      <c r="JC382" s="17"/>
      <c r="JD382" s="17"/>
      <c r="JF382" s="17">
        <f>COUNTIF(E382:DK382,"Present")+(COUNTIF(E382:DK382,"Half Day")*0.5)</f>
        <v>0</v>
      </c>
      <c r="JG382" s="17">
        <f>COUNTIF($E382:$DK382,"Absent")+(COUNTIF($E382:$DK382,"P(Half Day)")*0.5)</f>
        <v>0</v>
      </c>
    </row>
    <row r="383" spans="263:267">
      <c r="JC383" s="17"/>
      <c r="JD383" s="17"/>
      <c r="JF383" s="17">
        <f>COUNTIF(E383:DK383,"Present")+(COUNTIF(E383:DK383,"Half Day")*0.5)</f>
        <v>0</v>
      </c>
      <c r="JG383" s="17">
        <f>COUNTIF($E383:$DK383,"Absent")+(COUNTIF($E383:$DK383,"P(Half Day)")*0.5)</f>
        <v>0</v>
      </c>
    </row>
    <row r="384" spans="263:267">
      <c r="JC384" s="17"/>
      <c r="JD384" s="17"/>
      <c r="JF384" s="17">
        <f>COUNTIF(E384:DK384,"Present")+(COUNTIF(E384:DK384,"Half Day")*0.5)</f>
        <v>0</v>
      </c>
      <c r="JG384" s="17">
        <f>COUNTIF($E384:$DK384,"Absent")+(COUNTIF($E384:$DK384,"P(Half Day)")*0.5)</f>
        <v>0</v>
      </c>
    </row>
    <row r="385" spans="263:267">
      <c r="JC385" s="17"/>
      <c r="JD385" s="17"/>
      <c r="JF385" s="17">
        <f>COUNTIF(E385:DK385,"Present")+(COUNTIF(E385:DK385,"Half Day")*0.5)</f>
        <v>0</v>
      </c>
      <c r="JG385" s="17">
        <f>COUNTIF($E385:$DK385,"Absent")+(COUNTIF($E385:$DK385,"P(Half Day)")*0.5)</f>
        <v>0</v>
      </c>
    </row>
    <row r="386" spans="263:267">
      <c r="JC386" s="17"/>
      <c r="JD386" s="17"/>
      <c r="JF386" s="17">
        <f>COUNTIF(E386:DK386,"Present")+(COUNTIF(E386:DK386,"Half Day")*0.5)</f>
        <v>0</v>
      </c>
      <c r="JG386" s="17">
        <f>COUNTIF($E386:$DK386,"Absent")+(COUNTIF($E386:$DK386,"P(Half Day)")*0.5)</f>
        <v>0</v>
      </c>
    </row>
    <row r="387" spans="263:267">
      <c r="JC387" s="17"/>
      <c r="JD387" s="17"/>
      <c r="JF387" s="17">
        <f>COUNTIF(E387:DK387,"Present")+(COUNTIF(E387:DK387,"Half Day")*0.5)</f>
        <v>0</v>
      </c>
      <c r="JG387" s="17">
        <f>COUNTIF($E387:$DK387,"Absent")+(COUNTIF($E387:$DK387,"P(Half Day)")*0.5)</f>
        <v>0</v>
      </c>
    </row>
    <row r="388" spans="263:267">
      <c r="JC388" s="17"/>
      <c r="JD388" s="17"/>
      <c r="JF388" s="17">
        <f>COUNTIF(E388:DK388,"Present")+(COUNTIF(E388:DK388,"Half Day")*0.5)</f>
        <v>0</v>
      </c>
      <c r="JG388" s="17">
        <f>COUNTIF($E388:$DK388,"Absent")+(COUNTIF($E388:$DK388,"P(Half Day)")*0.5)</f>
        <v>0</v>
      </c>
    </row>
    <row r="389" spans="263:267">
      <c r="JC389" s="17"/>
      <c r="JD389" s="17"/>
      <c r="JF389" s="17">
        <f>COUNTIF(E389:DK389,"Present")+(COUNTIF(E389:DK389,"Half Day")*0.5)</f>
        <v>0</v>
      </c>
      <c r="JG389" s="17">
        <f>COUNTIF($E389:$DK389,"Absent")+(COUNTIF($E389:$DK389,"P(Half Day)")*0.5)</f>
        <v>0</v>
      </c>
    </row>
    <row r="390" spans="263:267">
      <c r="JC390" s="17"/>
      <c r="JD390" s="17"/>
      <c r="JF390" s="17">
        <f>COUNTIF(E390:DK390,"Present")+(COUNTIF(E390:DK390,"Half Day")*0.5)</f>
        <v>0</v>
      </c>
      <c r="JG390" s="17">
        <f>COUNTIF($E390:$DK390,"Absent")+(COUNTIF($E390:$DK390,"P(Half Day)")*0.5)</f>
        <v>0</v>
      </c>
    </row>
    <row r="391" spans="263:267">
      <c r="JC391" s="17"/>
      <c r="JD391" s="17"/>
      <c r="JF391" s="17">
        <f>COUNTIF(E391:DK391,"Present")+(COUNTIF(E391:DK391,"Half Day")*0.5)</f>
        <v>0</v>
      </c>
      <c r="JG391" s="17">
        <f>COUNTIF($E391:$DK391,"Absent")+(COUNTIF($E391:$DK391,"P(Half Day)")*0.5)</f>
        <v>0</v>
      </c>
    </row>
    <row r="392" spans="263:267">
      <c r="JC392" s="17"/>
      <c r="JD392" s="17"/>
      <c r="JF392" s="17">
        <f>COUNTIF(E392:DK392,"Present")+(COUNTIF(E392:DK392,"Half Day")*0.5)</f>
        <v>0</v>
      </c>
      <c r="JG392" s="17">
        <f>COUNTIF($E392:$DK392,"Absent")+(COUNTIF($E392:$DK392,"P(Half Day)")*0.5)</f>
        <v>0</v>
      </c>
    </row>
    <row r="393" spans="263:267">
      <c r="JC393" s="17"/>
      <c r="JD393" s="17"/>
      <c r="JF393" s="17">
        <f>COUNTIF(E393:DK393,"Present")+(COUNTIF(E393:DK393,"Half Day")*0.5)</f>
        <v>0</v>
      </c>
      <c r="JG393" s="17">
        <f>COUNTIF($E393:$DK393,"Absent")+(COUNTIF($E393:$DK393,"P(Half Day)")*0.5)</f>
        <v>0</v>
      </c>
    </row>
    <row r="394" spans="263:267">
      <c r="JC394" s="17"/>
      <c r="JD394" s="17"/>
      <c r="JF394" s="17">
        <f>COUNTIF(E394:DK394,"Present")+(COUNTIF(E394:DK394,"Half Day")*0.5)</f>
        <v>0</v>
      </c>
      <c r="JG394" s="17">
        <f>COUNTIF($E394:$DK394,"Absent")+(COUNTIF($E394:$DK394,"P(Half Day)")*0.5)</f>
        <v>0</v>
      </c>
    </row>
    <row r="395" spans="263:267">
      <c r="JC395" s="17"/>
      <c r="JD395" s="17"/>
      <c r="JF395" s="17">
        <f>COUNTIF(E395:DK395,"Present")+(COUNTIF(E395:DK395,"Half Day")*0.5)</f>
        <v>0</v>
      </c>
      <c r="JG395" s="17">
        <f>COUNTIF($E395:$DK395,"Absent")+(COUNTIF($E395:$DK395,"P(Half Day)")*0.5)</f>
        <v>0</v>
      </c>
    </row>
    <row r="396" spans="263:267">
      <c r="JC396" s="17"/>
      <c r="JD396" s="17"/>
      <c r="JF396" s="17">
        <f>COUNTIF(E396:DK396,"Present")+(COUNTIF(E396:DK396,"Half Day")*0.5)</f>
        <v>0</v>
      </c>
      <c r="JG396" s="17">
        <f>COUNTIF($E396:$DK396,"Absent")+(COUNTIF($E396:$DK396,"P(Half Day)")*0.5)</f>
        <v>0</v>
      </c>
    </row>
    <row r="397" spans="263:267">
      <c r="JC397" s="17"/>
      <c r="JD397" s="17"/>
      <c r="JF397" s="17">
        <f>COUNTIF(E397:DK397,"Present")+(COUNTIF(E397:DK397,"Half Day")*0.5)</f>
        <v>0</v>
      </c>
      <c r="JG397" s="17">
        <f>COUNTIF($E397:$DK397,"Absent")+(COUNTIF($E397:$DK397,"P(Half Day)")*0.5)</f>
        <v>0</v>
      </c>
    </row>
    <row r="398" spans="263:267">
      <c r="JC398" s="17"/>
      <c r="JD398" s="17"/>
      <c r="JF398" s="17">
        <f>COUNTIF(E398:DK398,"Present")+(COUNTIF(E398:DK398,"Half Day")*0.5)</f>
        <v>0</v>
      </c>
      <c r="JG398" s="17">
        <f>COUNTIF($E398:$DK398,"Absent")+(COUNTIF($E398:$DK398,"P(Half Day)")*0.5)</f>
        <v>0</v>
      </c>
    </row>
    <row r="399" spans="263:267">
      <c r="JC399" s="17"/>
      <c r="JD399" s="17"/>
      <c r="JF399" s="17">
        <f>COUNTIF(E399:DK399,"Present")+(COUNTIF(E399:DK399,"Half Day")*0.5)</f>
        <v>0</v>
      </c>
      <c r="JG399" s="17">
        <f>COUNTIF($E399:$DK399,"Absent")+(COUNTIF($E399:$DK399,"P(Half Day)")*0.5)</f>
        <v>0</v>
      </c>
    </row>
    <row r="400" spans="263:267">
      <c r="JC400" s="17"/>
      <c r="JD400" s="17"/>
      <c r="JF400" s="17">
        <f>COUNTIF(E400:DK400,"Present")+(COUNTIF(E400:DK400,"Half Day")*0.5)</f>
        <v>0</v>
      </c>
      <c r="JG400" s="17">
        <f>COUNTIF($E400:$DK400,"Absent")+(COUNTIF($E400:$DK400,"P(Half Day)")*0.5)</f>
        <v>0</v>
      </c>
    </row>
    <row r="401" spans="263:267">
      <c r="JC401" s="17"/>
      <c r="JD401" s="17"/>
      <c r="JF401" s="17">
        <f>COUNTIF(E401:DK401,"Present")+(COUNTIF(E401:DK401,"Half Day")*0.5)</f>
        <v>0</v>
      </c>
      <c r="JG401" s="17">
        <f>COUNTIF($E401:$DK401,"Absent")+(COUNTIF($E401:$DK401,"P(Half Day)")*0.5)</f>
        <v>0</v>
      </c>
    </row>
    <row r="402" spans="263:267">
      <c r="JC402" s="17"/>
      <c r="JD402" s="17"/>
      <c r="JF402" s="17">
        <f>COUNTIF(E402:DK402,"Present")+(COUNTIF(E402:DK402,"Half Day")*0.5)</f>
        <v>0</v>
      </c>
      <c r="JG402" s="17">
        <f>COUNTIF($E402:$DK402,"Absent")+(COUNTIF($E402:$DK402,"P(Half Day)")*0.5)</f>
        <v>0</v>
      </c>
    </row>
    <row r="403" spans="263:267">
      <c r="JC403" s="17"/>
      <c r="JD403" s="17"/>
      <c r="JF403" s="17">
        <f>COUNTIF(E403:DK403,"Present")+(COUNTIF(E403:DK403,"Half Day")*0.5)</f>
        <v>0</v>
      </c>
      <c r="JG403" s="17">
        <f>COUNTIF($E403:$DK403,"Absent")+(COUNTIF($E403:$DK403,"P(Half Day)")*0.5)</f>
        <v>0</v>
      </c>
    </row>
    <row r="404" spans="263:267">
      <c r="JC404" s="17"/>
      <c r="JD404" s="17"/>
      <c r="JF404" s="17">
        <f>COUNTIF(E404:DK404,"Present")+(COUNTIF(E404:DK404,"Half Day")*0.5)</f>
        <v>0</v>
      </c>
      <c r="JG404" s="17">
        <f>COUNTIF($E404:$DK404,"Absent")+(COUNTIF($E404:$DK404,"P(Half Day)")*0.5)</f>
        <v>0</v>
      </c>
    </row>
    <row r="405" spans="263:267">
      <c r="JC405" s="17"/>
      <c r="JD405" s="17"/>
      <c r="JF405" s="17">
        <f>COUNTIF(E405:DK405,"Present")+(COUNTIF(E405:DK405,"Half Day")*0.5)</f>
        <v>0</v>
      </c>
      <c r="JG405" s="17">
        <f>COUNTIF($E405:$DK405,"Absent")+(COUNTIF($E405:$DK405,"P(Half Day)")*0.5)</f>
        <v>0</v>
      </c>
    </row>
    <row r="406" spans="263:267">
      <c r="JC406" s="17"/>
      <c r="JD406" s="17"/>
      <c r="JF406" s="17">
        <f>COUNTIF(E406:DK406,"Present")+(COUNTIF(E406:DK406,"Half Day")*0.5)</f>
        <v>0</v>
      </c>
      <c r="JG406" s="17">
        <f>COUNTIF($E406:$DK406,"Absent")+(COUNTIF($E406:$DK406,"P(Half Day)")*0.5)</f>
        <v>0</v>
      </c>
    </row>
    <row r="407" spans="263:267">
      <c r="JC407" s="17"/>
      <c r="JD407" s="17"/>
      <c r="JF407" s="17">
        <f>COUNTIF(E407:DK407,"Present")+(COUNTIF(E407:DK407,"Half Day")*0.5)</f>
        <v>0</v>
      </c>
      <c r="JG407" s="17">
        <f>COUNTIF($E407:$DK407,"Absent")+(COUNTIF($E407:$DK407,"P(Half Day)")*0.5)</f>
        <v>0</v>
      </c>
    </row>
    <row r="408" spans="263:267">
      <c r="JC408" s="17"/>
      <c r="JD408" s="17"/>
      <c r="JF408" s="17">
        <f>COUNTIF(E408:DK408,"Present")+(COUNTIF(E408:DK408,"Half Day")*0.5)</f>
        <v>0</v>
      </c>
      <c r="JG408" s="17">
        <f>COUNTIF($E408:$DK408,"Absent")+(COUNTIF($E408:$DK408,"P(Half Day)")*0.5)</f>
        <v>0</v>
      </c>
    </row>
    <row r="409" spans="263:267">
      <c r="JC409" s="17"/>
      <c r="JD409" s="17"/>
      <c r="JF409" s="17">
        <f>COUNTIF(E409:DK409,"Present")+(COUNTIF(E409:DK409,"Half Day")*0.5)</f>
        <v>0</v>
      </c>
      <c r="JG409" s="17">
        <f>COUNTIF($E409:$DK409,"Absent")+(COUNTIF($E409:$DK409,"P(Half Day)")*0.5)</f>
        <v>0</v>
      </c>
    </row>
    <row r="410" spans="263:267">
      <c r="JC410" s="17"/>
      <c r="JD410" s="17"/>
      <c r="JF410" s="17">
        <f>COUNTIF(E410:DK410,"Present")+(COUNTIF(E410:DK410,"Half Day")*0.5)</f>
        <v>0</v>
      </c>
      <c r="JG410" s="17">
        <f>COUNTIF($E410:$DK410,"Absent")+(COUNTIF($E410:$DK410,"P(Half Day)")*0.5)</f>
        <v>0</v>
      </c>
    </row>
    <row r="411" spans="263:267">
      <c r="JC411" s="17"/>
      <c r="JD411" s="17"/>
      <c r="JF411" s="17">
        <f>COUNTIF(E411:DK411,"Present")+(COUNTIF(E411:DK411,"Half Day")*0.5)</f>
        <v>0</v>
      </c>
      <c r="JG411" s="17">
        <f>COUNTIF($E411:$DK411,"Absent")+(COUNTIF($E411:$DK411,"P(Half Day)")*0.5)</f>
        <v>0</v>
      </c>
    </row>
    <row r="412" spans="263:267">
      <c r="JC412" s="17"/>
      <c r="JD412" s="17"/>
      <c r="JF412" s="17">
        <f>COUNTIF(E412:DK412,"Present")+(COUNTIF(E412:DK412,"Half Day")*0.5)</f>
        <v>0</v>
      </c>
      <c r="JG412" s="17">
        <f>COUNTIF($E412:$DK412,"Absent")+(COUNTIF($E412:$DK412,"P(Half Day)")*0.5)</f>
        <v>0</v>
      </c>
    </row>
    <row r="413" spans="263:267">
      <c r="JC413" s="17"/>
      <c r="JD413" s="17"/>
      <c r="JF413" s="17">
        <f>COUNTIF(E413:DK413,"Present")+(COUNTIF(E413:DK413,"Half Day")*0.5)</f>
        <v>0</v>
      </c>
      <c r="JG413" s="17">
        <f>COUNTIF($E413:$DK413,"Absent")+(COUNTIF($E413:$DK413,"P(Half Day)")*0.5)</f>
        <v>0</v>
      </c>
    </row>
    <row r="414" spans="263:267">
      <c r="JC414" s="17"/>
      <c r="JD414" s="17"/>
      <c r="JF414" s="17">
        <f>COUNTIF(E414:DK414,"Present")+(COUNTIF(E414:DK414,"Half Day")*0.5)</f>
        <v>0</v>
      </c>
      <c r="JG414" s="17">
        <f>COUNTIF($E414:$DK414,"Absent")+(COUNTIF($E414:$DK414,"P(Half Day)")*0.5)</f>
        <v>0</v>
      </c>
    </row>
    <row r="415" spans="263:267">
      <c r="JC415" s="17"/>
      <c r="JD415" s="17"/>
      <c r="JF415" s="17">
        <f>COUNTIF(E415:DK415,"Present")+(COUNTIF(E415:DK415,"Half Day")*0.5)</f>
        <v>0</v>
      </c>
      <c r="JG415" s="17">
        <f>COUNTIF($E415:$DK415,"Absent")+(COUNTIF($E415:$DK415,"P(Half Day)")*0.5)</f>
        <v>0</v>
      </c>
    </row>
    <row r="416" spans="263:267">
      <c r="JC416" s="17"/>
      <c r="JD416" s="17"/>
      <c r="JF416" s="17">
        <f>COUNTIF(E416:DK416,"Present")+(COUNTIF(E416:DK416,"Half Day")*0.5)</f>
        <v>0</v>
      </c>
      <c r="JG416" s="17">
        <f>COUNTIF($E416:$DK416,"Absent")+(COUNTIF($E416:$DK416,"P(Half Day)")*0.5)</f>
        <v>0</v>
      </c>
    </row>
    <row r="417" spans="263:267">
      <c r="JC417" s="17"/>
      <c r="JD417" s="17"/>
      <c r="JF417" s="17">
        <f>COUNTIF(E417:DK417,"Present")+(COUNTIF(E417:DK417,"Half Day")*0.5)</f>
        <v>0</v>
      </c>
      <c r="JG417" s="17">
        <f>COUNTIF($E417:$DK417,"Absent")+(COUNTIF($E417:$DK417,"P(Half Day)")*0.5)</f>
        <v>0</v>
      </c>
    </row>
    <row r="418" spans="263:267">
      <c r="JC418" s="17"/>
      <c r="JD418" s="17"/>
      <c r="JF418" s="17">
        <f>COUNTIF(E418:DK418,"Present")+(COUNTIF(E418:DK418,"Half Day")*0.5)</f>
        <v>0</v>
      </c>
      <c r="JG418" s="17">
        <f>COUNTIF($E418:$DK418,"Absent")+(COUNTIF($E418:$DK418,"P(Half Day)")*0.5)</f>
        <v>0</v>
      </c>
    </row>
    <row r="419" spans="263:267">
      <c r="JC419" s="17"/>
      <c r="JD419" s="17"/>
      <c r="JF419" s="17">
        <f>COUNTIF(E419:DK419,"Present")+(COUNTIF(E419:DK419,"Half Day")*0.5)</f>
        <v>0</v>
      </c>
      <c r="JG419" s="17">
        <f>COUNTIF($E419:$DK419,"Absent")+(COUNTIF($E419:$DK419,"P(Half Day)")*0.5)</f>
        <v>0</v>
      </c>
    </row>
    <row r="420" spans="263:267">
      <c r="JC420" s="17"/>
      <c r="JD420" s="17"/>
      <c r="JF420" s="17">
        <f>COUNTIF(E420:DK420,"Present")+(COUNTIF(E420:DK420,"Half Day")*0.5)</f>
        <v>0</v>
      </c>
      <c r="JG420" s="17">
        <f>COUNTIF($E420:$DK420,"Absent")+(COUNTIF($E420:$DK420,"P(Half Day)")*0.5)</f>
        <v>0</v>
      </c>
    </row>
    <row r="421" spans="263:267">
      <c r="JC421" s="17"/>
      <c r="JD421" s="17"/>
      <c r="JF421" s="17">
        <f>COUNTIF(E421:DK421,"Present")+(COUNTIF(E421:DK421,"Half Day")*0.5)</f>
        <v>0</v>
      </c>
      <c r="JG421" s="17">
        <f>COUNTIF($E421:$DK421,"Absent")+(COUNTIF($E421:$DK421,"P(Half Day)")*0.5)</f>
        <v>0</v>
      </c>
    </row>
    <row r="422" spans="263:267">
      <c r="JC422" s="17"/>
      <c r="JD422" s="17"/>
      <c r="JF422" s="17">
        <f>COUNTIF(E422:DK422,"Present")+(COUNTIF(E422:DK422,"Half Day")*0.5)</f>
        <v>0</v>
      </c>
      <c r="JG422" s="17">
        <f>COUNTIF($E422:$DK422,"Absent")+(COUNTIF($E422:$DK422,"P(Half Day)")*0.5)</f>
        <v>0</v>
      </c>
    </row>
    <row r="423" spans="263:267">
      <c r="JC423" s="17"/>
      <c r="JD423" s="17"/>
      <c r="JF423" s="17">
        <f>COUNTIF(E423:DK423,"Present")+(COUNTIF(E423:DK423,"Half Day")*0.5)</f>
        <v>0</v>
      </c>
      <c r="JG423" s="17">
        <f>COUNTIF($E423:$DK423,"Absent")+(COUNTIF($E423:$DK423,"P(Half Day)")*0.5)</f>
        <v>0</v>
      </c>
    </row>
    <row r="424" spans="263:267">
      <c r="JC424" s="17"/>
      <c r="JD424" s="17"/>
      <c r="JF424" s="17">
        <f>COUNTIF(E424:DK424,"Present")+(COUNTIF(E424:DK424,"Half Day")*0.5)</f>
        <v>0</v>
      </c>
      <c r="JG424" s="17">
        <f>COUNTIF($E424:$DK424,"Absent")+(COUNTIF($E424:$DK424,"P(Half Day)")*0.5)</f>
        <v>0</v>
      </c>
    </row>
    <row r="425" spans="263:267">
      <c r="JC425" s="17"/>
      <c r="JD425" s="17"/>
      <c r="JF425" s="17">
        <f>COUNTIF(E425:DK425,"Present")+(COUNTIF(E425:DK425,"Half Day")*0.5)</f>
        <v>0</v>
      </c>
      <c r="JG425" s="17">
        <f>COUNTIF($E425:$DK425,"Absent")+(COUNTIF($E425:$DK425,"P(Half Day)")*0.5)</f>
        <v>0</v>
      </c>
    </row>
    <row r="426" spans="263:267">
      <c r="JC426" s="17"/>
      <c r="JD426" s="17"/>
      <c r="JF426" s="17">
        <f>COUNTIF(E426:DK426,"Present")+(COUNTIF(E426:DK426,"Half Day")*0.5)</f>
        <v>0</v>
      </c>
      <c r="JG426" s="17">
        <f>COUNTIF($E426:$DK426,"Absent")+(COUNTIF($E426:$DK426,"P(Half Day)")*0.5)</f>
        <v>0</v>
      </c>
    </row>
    <row r="427" spans="263:267">
      <c r="JC427" s="17"/>
      <c r="JD427" s="17"/>
      <c r="JF427" s="17">
        <f>COUNTIF(E427:DK427,"Present")+(COUNTIF(E427:DK427,"Half Day")*0.5)</f>
        <v>0</v>
      </c>
      <c r="JG427" s="17">
        <f>COUNTIF($E427:$DK427,"Absent")+(COUNTIF($E427:$DK427,"P(Half Day)")*0.5)</f>
        <v>0</v>
      </c>
    </row>
    <row r="428" spans="263:267">
      <c r="JC428" s="17"/>
      <c r="JD428" s="17"/>
      <c r="JF428" s="17">
        <f>COUNTIF(E428:DK428,"Present")+(COUNTIF(E428:DK428,"Half Day")*0.5)</f>
        <v>0</v>
      </c>
      <c r="JG428" s="17">
        <f>COUNTIF($E428:$DK428,"Absent")+(COUNTIF($E428:$DK428,"P(Half Day)")*0.5)</f>
        <v>0</v>
      </c>
    </row>
    <row r="429" spans="263:267">
      <c r="JC429" s="17"/>
      <c r="JD429" s="17"/>
      <c r="JF429" s="17">
        <f>COUNTIF(E429:DK429,"Present")+(COUNTIF(E429:DK429,"Half Day")*0.5)</f>
        <v>0</v>
      </c>
      <c r="JG429" s="17">
        <f>COUNTIF($E429:$DK429,"Absent")+(COUNTIF($E429:$DK429,"P(Half Day)")*0.5)</f>
        <v>0</v>
      </c>
    </row>
    <row r="430" spans="263:267">
      <c r="JC430" s="17"/>
      <c r="JD430" s="17"/>
      <c r="JF430" s="17">
        <f>COUNTIF(E430:DK430,"Present")+(COUNTIF(E430:DK430,"Half Day")*0.5)</f>
        <v>0</v>
      </c>
      <c r="JG430" s="17">
        <f>COUNTIF($E430:$DK430,"Absent")+(COUNTIF($E430:$DK430,"P(Half Day)")*0.5)</f>
        <v>0</v>
      </c>
    </row>
    <row r="431" spans="263:267">
      <c r="JC431" s="17"/>
      <c r="JD431" s="17"/>
      <c r="JF431" s="17">
        <f>COUNTIF(E431:DK431,"Present")+(COUNTIF(E431:DK431,"Half Day")*0.5)</f>
        <v>0</v>
      </c>
      <c r="JG431" s="17">
        <f>COUNTIF($E431:$DK431,"Absent")+(COUNTIF($E431:$DK431,"P(Half Day)")*0.5)</f>
        <v>0</v>
      </c>
    </row>
    <row r="432" spans="263:267">
      <c r="JC432" s="17"/>
      <c r="JD432" s="17"/>
      <c r="JF432" s="17">
        <f>COUNTIF(E432:DK432,"Present")+(COUNTIF(E432:DK432,"Half Day")*0.5)</f>
        <v>0</v>
      </c>
      <c r="JG432" s="17">
        <f>COUNTIF($E432:$DK432,"Absent")+(COUNTIF($E432:$DK432,"P(Half Day)")*0.5)</f>
        <v>0</v>
      </c>
    </row>
    <row r="433" spans="263:267">
      <c r="JC433" s="17"/>
      <c r="JD433" s="17"/>
      <c r="JF433" s="17">
        <f>COUNTIF(E433:DK433,"Present")+(COUNTIF(E433:DK433,"Half Day")*0.5)</f>
        <v>0</v>
      </c>
      <c r="JG433" s="17">
        <f>COUNTIF($E433:$DK433,"Absent")+(COUNTIF($E433:$DK433,"P(Half Day)")*0.5)</f>
        <v>0</v>
      </c>
    </row>
    <row r="434" spans="263:267">
      <c r="JC434" s="17"/>
      <c r="JD434" s="17"/>
      <c r="JF434" s="17">
        <f>COUNTIF(E434:DK434,"Present")+(COUNTIF(E434:DK434,"Half Day")*0.5)</f>
        <v>0</v>
      </c>
      <c r="JG434" s="17">
        <f>COUNTIF($E434:$DK434,"Absent")+(COUNTIF($E434:$DK434,"P(Half Day)")*0.5)</f>
        <v>0</v>
      </c>
    </row>
    <row r="435" spans="263:267">
      <c r="JC435" s="17"/>
      <c r="JD435" s="17"/>
      <c r="JF435" s="17">
        <f>COUNTIF(E435:DK435,"Present")+(COUNTIF(E435:DK435,"Half Day")*0.5)</f>
        <v>0</v>
      </c>
      <c r="JG435" s="17">
        <f>COUNTIF($E435:$DK435,"Absent")+(COUNTIF($E435:$DK435,"P(Half Day)")*0.5)</f>
        <v>0</v>
      </c>
    </row>
    <row r="436" spans="263:267">
      <c r="JC436" s="17"/>
      <c r="JD436" s="17"/>
      <c r="JF436" s="17">
        <f>COUNTIF(E436:DK436,"Present")+(COUNTIF(E436:DK436,"Half Day")*0.5)</f>
        <v>0</v>
      </c>
      <c r="JG436" s="17">
        <f>COUNTIF($E436:$DK436,"Absent")+(COUNTIF($E436:$DK436,"P(Half Day)")*0.5)</f>
        <v>0</v>
      </c>
    </row>
    <row r="437" spans="263:267">
      <c r="JC437" s="17"/>
      <c r="JD437" s="17"/>
      <c r="JF437" s="17">
        <f>COUNTIF(E437:DK437,"Present")+(COUNTIF(E437:DK437,"Half Day")*0.5)</f>
        <v>0</v>
      </c>
      <c r="JG437" s="17">
        <f>COUNTIF($E437:$DK437,"Absent")+(COUNTIF($E437:$DK437,"P(Half Day)")*0.5)</f>
        <v>0</v>
      </c>
    </row>
    <row r="438" spans="263:267">
      <c r="JC438" s="17"/>
      <c r="JD438" s="17"/>
      <c r="JF438" s="17">
        <f>COUNTIF(E438:DK438,"Present")+(COUNTIF(E438:DK438,"Half Day")*0.5)</f>
        <v>0</v>
      </c>
      <c r="JG438" s="17">
        <f>COUNTIF($E438:$DK438,"Absent")+(COUNTIF($E438:$DK438,"P(Half Day)")*0.5)</f>
        <v>0</v>
      </c>
    </row>
    <row r="439" spans="263:267">
      <c r="JC439" s="17"/>
      <c r="JD439" s="17"/>
      <c r="JF439" s="17">
        <f>COUNTIF(E439:DK439,"Present")+(COUNTIF(E439:DK439,"Half Day")*0.5)</f>
        <v>0</v>
      </c>
      <c r="JG439" s="17">
        <f>COUNTIF($E439:$DK439,"Absent")+(COUNTIF($E439:$DK439,"P(Half Day)")*0.5)</f>
        <v>0</v>
      </c>
    </row>
    <row r="440" spans="263:267">
      <c r="JC440" s="17"/>
      <c r="JD440" s="17"/>
      <c r="JF440" s="17">
        <f>COUNTIF(E440:DK440,"Present")+(COUNTIF(E440:DK440,"Half Day")*0.5)</f>
        <v>0</v>
      </c>
      <c r="JG440" s="17">
        <f>COUNTIF($E440:$DK440,"Absent")+(COUNTIF($E440:$DK440,"P(Half Day)")*0.5)</f>
        <v>0</v>
      </c>
    </row>
    <row r="441" spans="263:267">
      <c r="JC441" s="17"/>
      <c r="JD441" s="17"/>
      <c r="JF441" s="17">
        <f>COUNTIF(E441:DK441,"Present")+(COUNTIF(E441:DK441,"Half Day")*0.5)</f>
        <v>0</v>
      </c>
      <c r="JG441" s="17">
        <f>COUNTIF($E441:$DK441,"Absent")+(COUNTIF($E441:$DK441,"P(Half Day)")*0.5)</f>
        <v>0</v>
      </c>
    </row>
    <row r="442" spans="263:267">
      <c r="JC442" s="17"/>
      <c r="JD442" s="17"/>
      <c r="JF442" s="17">
        <f>COUNTIF(E442:DK442,"Present")+(COUNTIF(E442:DK442,"Half Day")*0.5)</f>
        <v>0</v>
      </c>
      <c r="JG442" s="17">
        <f>COUNTIF($E442:$DK442,"Absent")+(COUNTIF($E442:$DK442,"P(Half Day)")*0.5)</f>
        <v>0</v>
      </c>
    </row>
    <row r="443" spans="263:267">
      <c r="JC443" s="17"/>
      <c r="JD443" s="17"/>
      <c r="JF443" s="17">
        <f>COUNTIF(E443:DK443,"Present")+(COUNTIF(E443:DK443,"Half Day")*0.5)</f>
        <v>0</v>
      </c>
      <c r="JG443" s="17">
        <f>COUNTIF($E443:$DK443,"Absent")+(COUNTIF($E443:$DK443,"P(Half Day)")*0.5)</f>
        <v>0</v>
      </c>
    </row>
    <row r="444" spans="263:267">
      <c r="JC444" s="17"/>
      <c r="JD444" s="17"/>
      <c r="JF444" s="17">
        <f>COUNTIF(E444:DK444,"Present")+(COUNTIF(E444:DK444,"Half Day")*0.5)</f>
        <v>0</v>
      </c>
      <c r="JG444" s="17">
        <f>COUNTIF($E444:$DK444,"Absent")+(COUNTIF($E444:$DK444,"P(Half Day)")*0.5)</f>
        <v>0</v>
      </c>
    </row>
    <row r="445" spans="263:267">
      <c r="JC445" s="17"/>
      <c r="JD445" s="17"/>
      <c r="JF445" s="17">
        <f>COUNTIF(E445:DK445,"Present")+(COUNTIF(E445:DK445,"Half Day")*0.5)</f>
        <v>0</v>
      </c>
      <c r="JG445" s="17">
        <f>COUNTIF($E445:$DK445,"Absent")+(COUNTIF($E445:$DK445,"P(Half Day)")*0.5)</f>
        <v>0</v>
      </c>
    </row>
    <row r="446" spans="263:267">
      <c r="JC446" s="17"/>
      <c r="JD446" s="17"/>
      <c r="JF446" s="17">
        <f>COUNTIF(E446:DK446,"Present")+(COUNTIF(E446:DK446,"Half Day")*0.5)</f>
        <v>0</v>
      </c>
      <c r="JG446" s="17">
        <f>COUNTIF($E446:$DK446,"Absent")+(COUNTIF($E446:$DK446,"P(Half Day)")*0.5)</f>
        <v>0</v>
      </c>
    </row>
    <row r="447" spans="263:267">
      <c r="JC447" s="17"/>
      <c r="JD447" s="17"/>
      <c r="JF447" s="17">
        <f>COUNTIF(E447:DK447,"Present")+(COUNTIF(E447:DK447,"Half Day")*0.5)</f>
        <v>0</v>
      </c>
      <c r="JG447" s="17">
        <f>COUNTIF($E447:$DK447,"Absent")+(COUNTIF($E447:$DK447,"P(Half Day)")*0.5)</f>
        <v>0</v>
      </c>
    </row>
    <row r="448" spans="263:267">
      <c r="JC448" s="17"/>
      <c r="JD448" s="17"/>
      <c r="JF448" s="17">
        <f>COUNTIF(E448:DK448,"Present")+(COUNTIF(E448:DK448,"Half Day")*0.5)</f>
        <v>0</v>
      </c>
      <c r="JG448" s="17">
        <f>COUNTIF($E448:$DK448,"Absent")+(COUNTIF($E448:$DK448,"P(Half Day)")*0.5)</f>
        <v>0</v>
      </c>
    </row>
    <row r="449" spans="263:267">
      <c r="JC449" s="17"/>
      <c r="JD449" s="17"/>
      <c r="JF449" s="17">
        <f>COUNTIF(E449:DK449,"Present")+(COUNTIF(E449:DK449,"Half Day")*0.5)</f>
        <v>0</v>
      </c>
      <c r="JG449" s="17">
        <f>COUNTIF($E449:$DK449,"Absent")+(COUNTIF($E449:$DK449,"P(Half Day)")*0.5)</f>
        <v>0</v>
      </c>
    </row>
    <row r="450" spans="263:267">
      <c r="JC450" s="17"/>
      <c r="JD450" s="17"/>
      <c r="JF450" s="17">
        <f>COUNTIF(E450:DK450,"Present")+(COUNTIF(E450:DK450,"Half Day")*0.5)</f>
        <v>0</v>
      </c>
      <c r="JG450" s="17">
        <f>COUNTIF($E450:$DK450,"Absent")+(COUNTIF($E450:$DK450,"P(Half Day)")*0.5)</f>
        <v>0</v>
      </c>
    </row>
    <row r="451" spans="263:267">
      <c r="JC451" s="17"/>
      <c r="JD451" s="17"/>
      <c r="JF451" s="17">
        <f>COUNTIF(E451:DK451,"Present")+(COUNTIF(E451:DK451,"Half Day")*0.5)</f>
        <v>0</v>
      </c>
      <c r="JG451" s="17">
        <f>COUNTIF($E451:$DK451,"Absent")+(COUNTIF($E451:$DK451,"P(Half Day)")*0.5)</f>
        <v>0</v>
      </c>
    </row>
    <row r="452" spans="263:267">
      <c r="JC452" s="17"/>
      <c r="JD452" s="17"/>
      <c r="JF452" s="17">
        <f>COUNTIF(E452:DK452,"Present")+(COUNTIF(E452:DK452,"Half Day")*0.5)</f>
        <v>0</v>
      </c>
      <c r="JG452" s="17">
        <f>COUNTIF($E452:$DK452,"Absent")+(COUNTIF($E452:$DK452,"P(Half Day)")*0.5)</f>
        <v>0</v>
      </c>
    </row>
    <row r="453" spans="263:267">
      <c r="JC453" s="17"/>
      <c r="JD453" s="17"/>
      <c r="JF453" s="17">
        <f>COUNTIF(E453:DK453,"Present")+(COUNTIF(E453:DK453,"Half Day")*0.5)</f>
        <v>0</v>
      </c>
      <c r="JG453" s="17">
        <f>COUNTIF($E453:$DK453,"Absent")+(COUNTIF($E453:$DK453,"P(Half Day)")*0.5)</f>
        <v>0</v>
      </c>
    </row>
    <row r="454" spans="263:267">
      <c r="JC454" s="17"/>
      <c r="JD454" s="17"/>
      <c r="JF454" s="17">
        <f>COUNTIF(E454:DK454,"Present")+(COUNTIF(E454:DK454,"Half Day")*0.5)</f>
        <v>0</v>
      </c>
      <c r="JG454" s="17">
        <f>COUNTIF($E454:$DK454,"Absent")+(COUNTIF($E454:$DK454,"P(Half Day)")*0.5)</f>
        <v>0</v>
      </c>
    </row>
    <row r="455" spans="263:267">
      <c r="JC455" s="17"/>
      <c r="JD455" s="17"/>
      <c r="JF455" s="17">
        <f>COUNTIF(E455:DK455,"Present")+(COUNTIF(E455:DK455,"Half Day")*0.5)</f>
        <v>0</v>
      </c>
      <c r="JG455" s="17">
        <f>COUNTIF($E455:$DK455,"Absent")+(COUNTIF($E455:$DK455,"P(Half Day)")*0.5)</f>
        <v>0</v>
      </c>
    </row>
    <row r="456" spans="263:267">
      <c r="JC456" s="17"/>
      <c r="JD456" s="17"/>
      <c r="JG456" s="17">
        <f>COUNTIF($E456:$DK456,"Absent")+(COUNTIF($E456:$DK456,"P(Half Day)")*0.5)</f>
        <v>0</v>
      </c>
    </row>
    <row r="457" spans="263:267">
      <c r="JC457" s="17"/>
      <c r="JD457" s="17"/>
      <c r="JG457" s="17">
        <f>COUNTIF($E457:$DK457,"Absent")+(COUNTIF($E457:$DK457,"P(Half Day)")*0.5)</f>
        <v>0</v>
      </c>
    </row>
    <row r="458" spans="263:267">
      <c r="JC458" s="17"/>
      <c r="JD458" s="17"/>
      <c r="JG458" s="17">
        <f>COUNTIF($E458:$DK458,"Absent")+(COUNTIF($E458:$DK458,"P(Half Day)")*0.5)</f>
        <v>0</v>
      </c>
    </row>
    <row r="459" spans="263:267">
      <c r="JC459" s="17"/>
      <c r="JD459" s="17"/>
      <c r="JG459" s="17">
        <f>COUNTIF($E459:$DK459,"Absent")+(COUNTIF($E459:$DK459,"P(Half Day)")*0.5)</f>
        <v>0</v>
      </c>
    </row>
    <row r="460" spans="263:267">
      <c r="JC460" s="17"/>
      <c r="JD460" s="17"/>
      <c r="JG460" s="17">
        <f>COUNTIF($E460:$DK460,"Absent")+(COUNTIF($E460:$DK460,"P(Half Day)")*0.5)</f>
        <v>0</v>
      </c>
    </row>
    <row r="461" spans="263:267">
      <c r="JC461" s="17"/>
      <c r="JD461" s="17"/>
      <c r="JG461" s="17">
        <f>COUNTIF($E461:$DK461,"Absent")+(COUNTIF($E461:$DK461,"P(Half Day)")*0.5)</f>
        <v>0</v>
      </c>
    </row>
    <row r="462" spans="263:267">
      <c r="JC462" s="17"/>
      <c r="JD462" s="17"/>
      <c r="JG462" s="17">
        <f>COUNTIF($E462:$DK462,"Absent")+(COUNTIF($E462:$DK462,"P(Half Day)")*0.5)</f>
        <v>0</v>
      </c>
    </row>
    <row r="463" spans="263:267">
      <c r="JC463" s="17"/>
      <c r="JD463" s="17"/>
      <c r="JG463" s="17">
        <f>COUNTIF($E463:$DK463,"Absent")+(COUNTIF($E463:$DK463,"P(Half Day)")*0.5)</f>
        <v>0</v>
      </c>
    </row>
    <row r="464" spans="263:267">
      <c r="JC464" s="17"/>
      <c r="JD464" s="17"/>
      <c r="JG464" s="17">
        <f>COUNTIF($E464:$DK464,"Absent")+(COUNTIF($E464:$DK464,"P(Half Day)")*0.5)</f>
        <v>0</v>
      </c>
    </row>
    <row r="465" spans="263:267">
      <c r="JC465" s="17"/>
      <c r="JD465" s="17"/>
      <c r="JG465" s="17">
        <f>COUNTIF($E465:$DK465,"Absent")+(COUNTIF($E465:$DK465,"P(Half Day)")*0.5)</f>
        <v>0</v>
      </c>
    </row>
    <row r="466" spans="263:267">
      <c r="JC466" s="17"/>
      <c r="JD466" s="17"/>
    </row>
    <row r="467" spans="263:267">
      <c r="JC467" s="17"/>
      <c r="JD467" s="17"/>
    </row>
    <row r="468" spans="263:267">
      <c r="JC468" s="17"/>
      <c r="JD468" s="17"/>
    </row>
    <row r="469" spans="263:267">
      <c r="JC469" s="17"/>
      <c r="JD469" s="17"/>
    </row>
    <row r="470" spans="263:267">
      <c r="JC470" s="17"/>
      <c r="JD470" s="17"/>
    </row>
    <row r="471" spans="263:267">
      <c r="JC471" s="17"/>
      <c r="JD471" s="17"/>
    </row>
    <row r="472" spans="263:267">
      <c r="JC472" s="17"/>
      <c r="JD472" s="17"/>
    </row>
    <row r="473" spans="263:267">
      <c r="JC473" s="17"/>
      <c r="JD473" s="17"/>
    </row>
    <row r="474" spans="263:267">
      <c r="JC474" s="17"/>
      <c r="JD474" s="17"/>
    </row>
    <row r="475" spans="263:267">
      <c r="JC475" s="17"/>
      <c r="JD475" s="17"/>
    </row>
    <row r="476" spans="263:267">
      <c r="JC476" s="17"/>
      <c r="JD476" s="17"/>
    </row>
    <row r="477" spans="263:267">
      <c r="JC477" s="17"/>
      <c r="JD477" s="17"/>
    </row>
    <row r="478" spans="263:267">
      <c r="JC478" s="17"/>
      <c r="JD478" s="17"/>
    </row>
    <row r="479" spans="263:267">
      <c r="JC479" s="17"/>
      <c r="JD479" s="17"/>
    </row>
    <row r="480" spans="263:267">
      <c r="JC480" s="17"/>
      <c r="JD480" s="17"/>
    </row>
    <row r="481" spans="263:264">
      <c r="JC481" s="17"/>
      <c r="JD481" s="17"/>
    </row>
    <row r="482" spans="263:264">
      <c r="JC482" s="17"/>
      <c r="JD482" s="17"/>
    </row>
    <row r="483" spans="263:264">
      <c r="JC483" s="17"/>
      <c r="JD483" s="17"/>
    </row>
    <row r="484" spans="263:264">
      <c r="JC484" s="17"/>
      <c r="JD484" s="17"/>
    </row>
    <row r="485" spans="263:264">
      <c r="JC485" s="17"/>
      <c r="JD485" s="17"/>
    </row>
    <row r="486" spans="263:264">
      <c r="JC486" s="17"/>
      <c r="JD486" s="17"/>
    </row>
    <row r="487" spans="263:264">
      <c r="JC487" s="17"/>
      <c r="JD487" s="17"/>
    </row>
    <row r="488" spans="263:264">
      <c r="JC488" s="17"/>
      <c r="JD488" s="17"/>
    </row>
    <row r="489" spans="263:264">
      <c r="JC489" s="17"/>
      <c r="JD489" s="17"/>
    </row>
    <row r="490" spans="263:264">
      <c r="JC490" s="17"/>
      <c r="JD490" s="17"/>
    </row>
    <row r="491" spans="263:264">
      <c r="JC491" s="17"/>
      <c r="JD491" s="17"/>
    </row>
    <row r="492" spans="263:264">
      <c r="JC492" s="17"/>
      <c r="JD492" s="17"/>
    </row>
    <row r="493" spans="263:264">
      <c r="JC493" s="17"/>
      <c r="JD493" s="17"/>
    </row>
    <row r="494" spans="263:264">
      <c r="JC494" s="17"/>
      <c r="JD494" s="17"/>
    </row>
    <row r="495" spans="263:264">
      <c r="JC495" s="17"/>
      <c r="JD495" s="17"/>
    </row>
    <row r="496" spans="263:264">
      <c r="JC496" s="17"/>
      <c r="JD496" s="17"/>
    </row>
    <row r="497" spans="263:264">
      <c r="JC497" s="17"/>
      <c r="JD497" s="17"/>
    </row>
    <row r="498" spans="263:264">
      <c r="JC498" s="17"/>
      <c r="JD498" s="17"/>
    </row>
    <row r="499" spans="263:264">
      <c r="JC499" s="17"/>
      <c r="JD499" s="17"/>
    </row>
    <row r="500" spans="263:264">
      <c r="JC500" s="17"/>
      <c r="JD500" s="17"/>
    </row>
    <row r="501" spans="263:264">
      <c r="JC501" s="17"/>
      <c r="JD501" s="17"/>
    </row>
    <row r="502" spans="263:264">
      <c r="JC502" s="17"/>
      <c r="JD502" s="17"/>
    </row>
    <row r="503" spans="263:264">
      <c r="JC503" s="17"/>
      <c r="JD503" s="17"/>
    </row>
    <row r="504" spans="263:264">
      <c r="JC504" s="17"/>
      <c r="JD504" s="17"/>
    </row>
    <row r="505" spans="263:264">
      <c r="JC505" s="17"/>
      <c r="JD505" s="17"/>
    </row>
    <row r="506" spans="263:264">
      <c r="JC506" s="17"/>
      <c r="JD506" s="17"/>
    </row>
    <row r="507" spans="263:264">
      <c r="JC507" s="17"/>
      <c r="JD507" s="17"/>
    </row>
    <row r="508" spans="263:264">
      <c r="JC508" s="17"/>
      <c r="JD508" s="17"/>
    </row>
    <row r="509" spans="263:264">
      <c r="JC509" s="17"/>
      <c r="JD509" s="17"/>
    </row>
    <row r="510" spans="263:264">
      <c r="JC510" s="17"/>
      <c r="JD510" s="17"/>
    </row>
    <row r="511" spans="263:264">
      <c r="JC511" s="17"/>
      <c r="JD511" s="17"/>
    </row>
    <row r="512" spans="263:264">
      <c r="JC512" s="17"/>
      <c r="JD512" s="17"/>
    </row>
    <row r="513" spans="263:265">
      <c r="JC513" s="17"/>
      <c r="JD513" s="17"/>
    </row>
    <row r="514" spans="263:265">
      <c r="JC514" s="17"/>
      <c r="JD514" s="17"/>
    </row>
    <row r="515" spans="263:265">
      <c r="JC515" s="17"/>
      <c r="JD515" s="17"/>
    </row>
    <row r="516" spans="263:265">
      <c r="JC516" s="17"/>
      <c r="JD516" s="17"/>
    </row>
    <row r="517" spans="263:265">
      <c r="JD517" s="17"/>
    </row>
    <row r="518" spans="263:265">
      <c r="JD518" s="17"/>
    </row>
    <row r="519" spans="263:265">
      <c r="JD519" s="17"/>
    </row>
    <row r="520" spans="263:265">
      <c r="JD520" s="17"/>
    </row>
    <row r="521" spans="263:265">
      <c r="JD521" s="17"/>
    </row>
    <row r="522" spans="263:265">
      <c r="JD522" s="17"/>
    </row>
    <row r="523" spans="263:265">
      <c r="JD523" s="17"/>
    </row>
    <row r="524" spans="263:265">
      <c r="JD524" s="17"/>
    </row>
    <row r="525" spans="263:265">
      <c r="JD525" s="17"/>
    </row>
    <row r="526" spans="263:265">
      <c r="JD526" s="17"/>
    </row>
    <row r="527" spans="263:265">
      <c r="JD527" s="17"/>
    </row>
    <row r="528" spans="263:265">
      <c r="JE528" s="17">
        <f>COUNTIF($E528:$JB528,"Present")+(COUNTIF($E528:$JB528,"P(Half Day)")*0.5)</f>
        <v>0</v>
      </c>
    </row>
    <row r="529" spans="265:265">
      <c r="JE529" s="17">
        <f>COUNTIF($E529:$JB529,"Present")+(COUNTIF($E529:$JB529,"P(Half Day)")*0.5)</f>
        <v>0</v>
      </c>
    </row>
    <row r="530" spans="265:265">
      <c r="JE530" s="17">
        <f>COUNTIF($E530:$JB530,"Present")+(COUNTIF($E530:$JB530,"P(Half Day)")*0.5)</f>
        <v>0</v>
      </c>
    </row>
    <row r="531" spans="265:265">
      <c r="JE531" s="17">
        <f>COUNTIF($E531:$JB531,"Present")+(COUNTIF($E531:$JB531,"P(Half Day)")*0.5)</f>
        <v>0</v>
      </c>
    </row>
    <row r="532" spans="265:265">
      <c r="JE532" s="17">
        <f>COUNTIF($E532:$JB532,"Present")+(COUNTIF($E532:$JB532,"P(Half Day)")*0.5)</f>
        <v>0</v>
      </c>
    </row>
    <row r="533" spans="265:265">
      <c r="JE533" s="17">
        <f>COUNTIF($E533:$JB533,"Present")+(COUNTIF($E533:$JB533,"P(Half Day)")*0.5)</f>
        <v>0</v>
      </c>
    </row>
    <row r="534" spans="265:265">
      <c r="JE534" s="17">
        <f>COUNTIF($E534:$JB534,"Present")+(COUNTIF($E534:$JB534,"P(Half Day)")*0.5)</f>
        <v>0</v>
      </c>
    </row>
    <row r="535" spans="265:265">
      <c r="JE535" s="17">
        <f>COUNTIF($E535:$JB535,"Present")+(COUNTIF($E535:$JB535,"P(Half Day)")*0.5)</f>
        <v>0</v>
      </c>
    </row>
    <row r="536" spans="265:265">
      <c r="JE536" s="17">
        <f>COUNTIF($E536:$JB536,"Present")+(COUNTIF($E536:$JB536,"P(Half Day)")*0.5)</f>
        <v>0</v>
      </c>
    </row>
    <row r="537" spans="265:265">
      <c r="JE537" s="17">
        <f>COUNTIF($E537:$JB537,"Present")+(COUNTIF($E537:$JB537,"P(Half Day)")*0.5)</f>
        <v>0</v>
      </c>
    </row>
    <row r="538" spans="265:265">
      <c r="JE538" s="17">
        <f>COUNTIF($E538:$JB538,"Present")+(COUNTIF($E538:$JB538,"P(Half Day)")*0.5)</f>
        <v>0</v>
      </c>
    </row>
    <row r="539" spans="265:265">
      <c r="JE539" s="17">
        <f>COUNTIF($E539:$JB539,"Present")+(COUNTIF($E539:$JB539,"P(Half Day)")*0.5)</f>
        <v>0</v>
      </c>
    </row>
    <row r="540" spans="265:265">
      <c r="JE540" s="17">
        <f>COUNTIF($E540:$JB540,"Present")+(COUNTIF($E540:$JB540,"P(Half Day)")*0.5)</f>
        <v>0</v>
      </c>
    </row>
    <row r="541" spans="265:265">
      <c r="JE541" s="17">
        <f>COUNTIF($E541:$JB541,"Present")+(COUNTIF($E541:$JB541,"P(Half Day)")*0.5)</f>
        <v>0</v>
      </c>
    </row>
    <row r="542" spans="265:265">
      <c r="JE542" s="17">
        <f>COUNTIF($E542:$JB542,"Present")+(COUNTIF($E542:$JB542,"P(Half Day)")*0.5)</f>
        <v>0</v>
      </c>
    </row>
    <row r="543" spans="265:265">
      <c r="JE543" s="17">
        <f>COUNTIF($E543:$JB543,"Present")+(COUNTIF($E543:$JB543,"P(Half Day)")*0.5)</f>
        <v>0</v>
      </c>
    </row>
    <row r="544" spans="265:265">
      <c r="JE544" s="17">
        <f>COUNTIF($E544:$JB544,"Present")+(COUNTIF($E544:$JB544,"P(Half Day)")*0.5)</f>
        <v>0</v>
      </c>
    </row>
    <row r="545" spans="265:265">
      <c r="JE545" s="17">
        <f>COUNTIF($E545:$JB545,"Present")+(COUNTIF($E545:$JB545,"P(Half Day)")*0.5)</f>
        <v>0</v>
      </c>
    </row>
  </sheetData>
  <conditionalFormatting sqref="JB2:JE2 IS2:IV9 IX2:IZ9 IJ3:IQ9 JB3:JD9 CA10:CO10 IX11:IZ22 JB11:JE22 IJ11:IQ66 IS11:IV66 IW23:JE23 JE24:JE65 IX24:IZ66 JB24:JD66 BZ32:CP32 IX67 E35:Y35 E24:P32 Q29:Q32 R30:V31 Q32:V32 E33:V33 W30:W33 X32:AA33 E63:Y66 Z64:AB66 E2:AD9 E47:AB47 E67:AJ80 AB32:AJ32 E12:AB22 AC12:AF18 AG12:AG17 AH12:AJ16 E10:AJ11 E34:DC34 E36:CY37 E38:DM38 E39:DJ41 E44:EB44 E52:DW52 E57:DE57 E58:CY59 E60:DI60 E61:CX61 AA35:CV35 Q25:CY25 Q26:DH26 Q27:DJ27 Q28:DA28 E23:CW23 Q24:CW24 E62:CV62 Z63:DA63 AC66:DG66 AC65:DQ65 AC64:DH64 R29:FG29 X31:DP31 AB33:DJ33 X30:CZ30 AE7:CU7 AE9:DJ9 AE8:CY8 AE6:CO6 AE5:CL5 AE4:CN4 AE3:CK3 AE2:IQ2 E50:DK50 E53:DQ53 E51:DO51 E54:DN56 AK14:CL14 AK15:DE15 AG18:DC18 AC19:DH22 AH17:CY17 AK11:II12 AK13:CP13 AK16:CU16 E42:DV43 E45:DW45 E46:DZ46 E48:DC48 E49:DV49">
    <cfRule type="cellIs" dxfId="156" priority="33" operator="equal">
      <formula>"Present"</formula>
    </cfRule>
  </conditionalFormatting>
  <conditionalFormatting sqref="JB2:JE2 IS2:IV9 IX2:IZ9 IJ3:IQ9 JB3:JD9 CA10:CO10 IX11:IZ22 JB11:JE22 IJ11:IQ66 IS11:IV66 IW23:JE23 JE24:JE65 IX24:IZ66 JB24:JD66 BZ32:CR32 IX67 E35:Y35 E24:P32 Q29:Q32 R30:V31 Q32:V32 E33:V33 W30:W33 X32:AA33 E63:Y66 Z64:AB66 E2:AD9 E47:AB47 E10:AL10 E67:AL140 AB32:AL32 E12:AB22 AC12:AF18 AG12:AG17 AH12:AJ16 E11:AJ11 E34:DC34 E36:CY37 E38:DM38 E39:DJ41 E44:EB44 E52:DW52 E57:DE57 E58:CY59 E60:DI60 E61:CX61 AA35:CV35 Q25:CY25 Q26:DH26 Q27:DJ27 Q28:DA28 E23:CW23 Q24:CW24 E62:CV62 Z63:DA63 AC66:DG66 AC65:DQ65 AC64:DH64 R29:FG29 X31:DP31 AB33:DJ33 X30:CZ30 AE7:CU7 AE9:DJ9 AE8:CY8 AE6:CO6 AE5:CL5 AE4:CN4 AE3:CK3 AE2:IQ2 E50:DK50 E53:DQ53 E51:DO51 E54:DN56 AK14:CL14 AK15:DE15 AG18:DC18 AC19:DH22 AH17:CY17 AK11:II12 AK13:CP13 AK16:CU16 E42:DV43 E45:DW45 E46:DZ46 E48:DC48 E49:DV49">
    <cfRule type="cellIs" dxfId="155" priority="31" operator="equal">
      <formula>"Half Day"</formula>
    </cfRule>
  </conditionalFormatting>
  <conditionalFormatting sqref="JB2:JE2 IS2:IV9 IX2:IZ9 IJ3:IQ9 JB3:JD9 CA10:CO10 IX11:IZ22 JB11:JE22 IJ11:IQ66 IS11:IV66 IW23:JE23 JE24:JE65 IX24:IZ66 JB24:JD66 BZ32:CT32 IX67 E35:Y35 E24:P32 Q29:Q32 R30:V31 Q32:V32 E33:V33 W30:W33 X32:AA33 E63:Y66 Z64:AB66 E2:AD9 E47:AB47 E10:AM10 E67:AM84 AB32:AM32 E12:AB22 AC12:AF18 AG12:AG17 AH12:AJ16 E11:AJ11 E34:DC34 E36:CY37 E38:DM38 E39:DJ41 E44:EB44 E52:DW52 E57:DE57 E58:CY59 E60:DI60 E61:CX61 AA35:CV35 Q25:CY25 Q26:DH26 Q27:DJ27 Q28:DA28 E23:CW23 Q24:CW24 E62:CV62 Z63:DA63 AC66:DG66 AC65:DQ65 AC64:DH64 R29:FG29 X31:DP31 AB33:DJ33 X30:CZ30 AE7:CU7 AE9:DJ9 AE8:CY8 AE6:CO6 AE5:CL5 AE4:CN4 AE3:CK3 AE2:IQ2 E50:DK50 E53:DQ53 E51:DO51 E54:DN56 AK14:CL14 AK15:DE15 AG18:DC18 AC19:DH22 AH17:CY17 AK11:II12 AK13:CP13 AK16:CU16 E42:DV43 E45:DW45 E46:DZ46 E48:DC48 E49:DV49">
    <cfRule type="cellIs" dxfId="154" priority="32" operator="equal">
      <formula>"Absent"</formula>
    </cfRule>
  </conditionalFormatting>
  <conditionalFormatting sqref="AC47">
    <cfRule type="cellIs" dxfId="153" priority="27" operator="equal">
      <formula>"Present"</formula>
    </cfRule>
  </conditionalFormatting>
  <conditionalFormatting sqref="AC47">
    <cfRule type="cellIs" dxfId="152" priority="25" operator="equal">
      <formula>"Half Day"</formula>
    </cfRule>
  </conditionalFormatting>
  <conditionalFormatting sqref="AC47">
    <cfRule type="cellIs" dxfId="151" priority="26" operator="equal">
      <formula>"Absent"</formula>
    </cfRule>
  </conditionalFormatting>
  <conditionalFormatting sqref="AD47">
    <cfRule type="cellIs" dxfId="150" priority="24" operator="equal">
      <formula>"Present"</formula>
    </cfRule>
  </conditionalFormatting>
  <conditionalFormatting sqref="AD47">
    <cfRule type="cellIs" dxfId="149" priority="22" operator="equal">
      <formula>"Half Day"</formula>
    </cfRule>
  </conditionalFormatting>
  <conditionalFormatting sqref="AD47">
    <cfRule type="cellIs" dxfId="148" priority="23" operator="equal">
      <formula>"Absent"</formula>
    </cfRule>
  </conditionalFormatting>
  <conditionalFormatting sqref="AE47">
    <cfRule type="cellIs" dxfId="147" priority="21" operator="equal">
      <formula>"Present"</formula>
    </cfRule>
  </conditionalFormatting>
  <conditionalFormatting sqref="AE47">
    <cfRule type="cellIs" dxfId="146" priority="19" operator="equal">
      <formula>"Half Day"</formula>
    </cfRule>
  </conditionalFormatting>
  <conditionalFormatting sqref="AE47">
    <cfRule type="cellIs" dxfId="145" priority="20" operator="equal">
      <formula>"Absent"</formula>
    </cfRule>
  </conditionalFormatting>
  <conditionalFormatting sqref="AF47">
    <cfRule type="cellIs" dxfId="144" priority="18" operator="equal">
      <formula>"Present"</formula>
    </cfRule>
  </conditionalFormatting>
  <conditionalFormatting sqref="AF47">
    <cfRule type="cellIs" dxfId="143" priority="16" operator="equal">
      <formula>"Half Day"</formula>
    </cfRule>
  </conditionalFormatting>
  <conditionalFormatting sqref="AF47">
    <cfRule type="cellIs" dxfId="142" priority="17" operator="equal">
      <formula>"Absent"</formula>
    </cfRule>
  </conditionalFormatting>
  <conditionalFormatting sqref="AG47">
    <cfRule type="cellIs" dxfId="141" priority="15" operator="equal">
      <formula>"Present"</formula>
    </cfRule>
  </conditionalFormatting>
  <conditionalFormatting sqref="AG47">
    <cfRule type="cellIs" dxfId="140" priority="13" operator="equal">
      <formula>"Half Day"</formula>
    </cfRule>
  </conditionalFormatting>
  <conditionalFormatting sqref="AG47">
    <cfRule type="cellIs" dxfId="139" priority="14" operator="equal">
      <formula>"Absent"</formula>
    </cfRule>
  </conditionalFormatting>
  <conditionalFormatting sqref="AH47">
    <cfRule type="cellIs" dxfId="138" priority="12" operator="equal">
      <formula>"Present"</formula>
    </cfRule>
  </conditionalFormatting>
  <conditionalFormatting sqref="AH47">
    <cfRule type="cellIs" dxfId="137" priority="10" operator="equal">
      <formula>"Half Day"</formula>
    </cfRule>
  </conditionalFormatting>
  <conditionalFormatting sqref="AH47">
    <cfRule type="cellIs" dxfId="136" priority="11" operator="equal">
      <formula>"Absent"</formula>
    </cfRule>
  </conditionalFormatting>
  <conditionalFormatting sqref="AI47">
    <cfRule type="cellIs" dxfId="135" priority="9" operator="equal">
      <formula>"Present"</formula>
    </cfRule>
  </conditionalFormatting>
  <conditionalFormatting sqref="AI47">
    <cfRule type="cellIs" dxfId="134" priority="7" operator="equal">
      <formula>"Half Day"</formula>
    </cfRule>
  </conditionalFormatting>
  <conditionalFormatting sqref="AI47">
    <cfRule type="cellIs" dxfId="133" priority="8" operator="equal">
      <formula>"Absent"</formula>
    </cfRule>
  </conditionalFormatting>
  <conditionalFormatting sqref="AJ47">
    <cfRule type="cellIs" dxfId="132" priority="6" operator="equal">
      <formula>"Present"</formula>
    </cfRule>
  </conditionalFormatting>
  <conditionalFormatting sqref="AJ47">
    <cfRule type="cellIs" dxfId="131" priority="4" operator="equal">
      <formula>"Half Day"</formula>
    </cfRule>
  </conditionalFormatting>
  <conditionalFormatting sqref="AJ47">
    <cfRule type="cellIs" dxfId="130" priority="5" operator="equal">
      <formula>"Absent"</formula>
    </cfRule>
  </conditionalFormatting>
  <conditionalFormatting sqref="AO47:AP47">
    <cfRule type="cellIs" dxfId="129" priority="3" operator="equal">
      <formula>"Present"</formula>
    </cfRule>
  </conditionalFormatting>
  <conditionalFormatting sqref="AO47:AP47">
    <cfRule type="cellIs" dxfId="128" priority="1" operator="equal">
      <formula>"Half Day"</formula>
    </cfRule>
  </conditionalFormatting>
  <conditionalFormatting sqref="AO47:AP47">
    <cfRule type="cellIs" dxfId="127" priority="2" operator="equal">
      <formula>"Absent"</formula>
    </cfRule>
  </conditionalFormatting>
  <dataValidations count="3">
    <dataValidation allowBlank="1" showInputMessage="1" showErrorMessage="1" sqref="IW11:IW22 IW24:IW66 JF1:XFD1 JA11:JA22 JA24:JA66 JA2:JA9 IW2:IW9 IR2:IR9 IR11:IR66 A1:JD1" xr:uid="{AB36A0CB-613A-4F6D-8E24-956E034EF855}"/>
    <dataValidation type="list" allowBlank="1" showInputMessage="1" showErrorMessage="1" sqref="JB66:JD66 IS11:IV66 IX23:IX67 JB2:JE2 IK12:IQ66 IX11:IZ22 IJ13:IJ66 IY24:IZ66 BZ32:CC32 CA10:CO10 AA47:AA48 JB3:JD9 IY23:JE23 JB11:JE22 JB24:JE65 IW23 IX2:IZ9 IJ3:IQ9 IS2:IV9 Y53:Z56 AB47:AJ47 Y10:AA10 AA63:AA64 Y47:Z51 Y35 E2:I65 J2:V10 Z19:Z30 Y32:AD32 Y15:Y30 W3:X10 Y3:Y9 J12:O65 P12:W61 X15:X61 T66:V66 X66 Z4:AB6 Z7:AC9 AC5:AC6 AQ48:DC48 AP47:AP49 Z17:AA18 X12:AA14 Z15:AB16 AB13:AB14 AC13:AD16 AE15:AF16 AE13:AI14 AQ49:DV49 AP46:DZ46 AB48:AN48 Y45:DW45 AG15:DE15 AG16:CU16 AB12:IJ12 AB17:CY17 AJ14:CL14 AA19:DH22 AB18:DC18 AD5:CL5 Z3:CK3 AA53:DQ53 AC65:DQ65 AC63:DA63 AA23:CW24 J11:IQ11 Y58:CY59 Y60:DI60 AC66:DG66 AB64:DH64 AC62:CV62 Y61:CX61 Y52:DW52 AA50:DK50 AA54:DN56 Y44:EB44 Y31:DP31 Y33:DJ33 AD7:CU7 AJ13:CP13 AA29:FG29 Y57:DE57 AA35:CV35 W2:IQ2 AD9:DJ9 AA51:DO51 AO46:AO49 Y38:DM38 Y34:DC34 AA27:DJ27 AA26:DH26 AA25:CY25 AC4:CN4 AD6:CO6 AD8:CY8 AA30:CZ30 AA28:DA28 Y36:CY37 Y39:DJ41 Y42:DV43 Y46:AN46 AA49:AN49" xr:uid="{496AE0B2-29EF-4452-8876-220F33E4E100}">
      <formula1>"Present,Absent,Half Day"</formula1>
    </dataValidation>
    <dataValidation type="list" allowBlank="1" showInputMessage="1" showErrorMessage="1" sqref="E67:U1048576" xr:uid="{EB3FC6DA-3C10-4696-82C0-FC0DEA992B88}">
      <formula1>"Present,Absent"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AFDF-B4B1-4D21-8550-0C72B4800A30}">
  <dimension ref="A1:I73"/>
  <sheetViews>
    <sheetView topLeftCell="A36" workbookViewId="0">
      <selection activeCell="B46" sqref="B46:C47"/>
    </sheetView>
  </sheetViews>
  <sheetFormatPr defaultRowHeight="15"/>
  <cols>
    <col min="1" max="1" width="13.42578125" style="127" customWidth="1"/>
    <col min="2" max="2" width="19.28515625" style="6" bestFit="1" customWidth="1"/>
    <col min="3" max="3" width="19.85546875" style="23" customWidth="1"/>
    <col min="4" max="4" width="41.28515625" style="6" customWidth="1"/>
    <col min="5" max="5" width="19.28515625" style="129" customWidth="1"/>
    <col min="6" max="16384" width="9.140625" style="6"/>
  </cols>
  <sheetData>
    <row r="1" spans="1:9" s="14" customFormat="1">
      <c r="A1" s="125" t="s">
        <v>7</v>
      </c>
      <c r="B1" s="13" t="s">
        <v>1</v>
      </c>
      <c r="C1" s="124" t="s">
        <v>235</v>
      </c>
      <c r="D1" s="14" t="s">
        <v>379</v>
      </c>
      <c r="E1" s="128" t="s">
        <v>380</v>
      </c>
    </row>
    <row r="2" spans="1:9">
      <c r="A2" s="273" t="s">
        <v>16</v>
      </c>
      <c r="B2" s="10" t="s">
        <v>171</v>
      </c>
      <c r="C2" s="122" t="s">
        <v>366</v>
      </c>
      <c r="D2" s="6" t="s">
        <v>381</v>
      </c>
      <c r="E2" s="129" t="s">
        <v>382</v>
      </c>
    </row>
    <row r="3" spans="1:9">
      <c r="A3" s="273"/>
      <c r="B3" s="4" t="s">
        <v>371</v>
      </c>
      <c r="C3" s="23" t="s">
        <v>89</v>
      </c>
      <c r="D3" s="6" t="s">
        <v>383</v>
      </c>
      <c r="E3" s="129" t="s">
        <v>384</v>
      </c>
    </row>
    <row r="4" spans="1:9">
      <c r="A4" s="273"/>
      <c r="B4" s="92" t="s">
        <v>372</v>
      </c>
      <c r="C4" s="72" t="s">
        <v>111</v>
      </c>
      <c r="D4" s="6" t="s">
        <v>385</v>
      </c>
      <c r="E4" s="129" t="s">
        <v>386</v>
      </c>
    </row>
    <row r="5" spans="1:9">
      <c r="A5" s="273"/>
      <c r="B5" s="4" t="s">
        <v>373</v>
      </c>
      <c r="C5" s="23" t="s">
        <v>89</v>
      </c>
      <c r="D5" s="6" t="s">
        <v>387</v>
      </c>
      <c r="E5" s="129" t="s">
        <v>388</v>
      </c>
      <c r="I5" s="123"/>
    </row>
    <row r="6" spans="1:9">
      <c r="A6" s="273"/>
      <c r="B6" s="10" t="s">
        <v>141</v>
      </c>
      <c r="C6" s="122" t="s">
        <v>366</v>
      </c>
      <c r="D6" s="6" t="s">
        <v>389</v>
      </c>
      <c r="E6" s="129" t="s">
        <v>390</v>
      </c>
    </row>
    <row r="7" spans="1:9">
      <c r="A7" s="274"/>
      <c r="B7" s="12" t="s">
        <v>137</v>
      </c>
      <c r="C7" s="122" t="s">
        <v>366</v>
      </c>
      <c r="D7" s="6" t="s">
        <v>391</v>
      </c>
      <c r="E7" s="129" t="s">
        <v>392</v>
      </c>
    </row>
    <row r="8" spans="1:9">
      <c r="A8" s="272" t="s">
        <v>23</v>
      </c>
      <c r="B8" s="10" t="s">
        <v>52</v>
      </c>
      <c r="C8" s="122" t="s">
        <v>13</v>
      </c>
      <c r="D8" s="6" t="s">
        <v>393</v>
      </c>
      <c r="E8" s="129" t="s">
        <v>394</v>
      </c>
    </row>
    <row r="9" spans="1:9">
      <c r="A9" s="273"/>
      <c r="B9" s="130" t="s">
        <v>96</v>
      </c>
      <c r="C9" s="122" t="s">
        <v>362</v>
      </c>
      <c r="D9" s="6" t="s">
        <v>395</v>
      </c>
      <c r="E9" s="129" t="s">
        <v>396</v>
      </c>
    </row>
    <row r="10" spans="1:9">
      <c r="A10" s="273"/>
      <c r="B10" s="10" t="s">
        <v>47</v>
      </c>
      <c r="C10" s="122" t="s">
        <v>13</v>
      </c>
      <c r="D10" s="6" t="s">
        <v>397</v>
      </c>
      <c r="E10" s="129" t="s">
        <v>398</v>
      </c>
    </row>
    <row r="11" spans="1:9">
      <c r="A11" s="273"/>
      <c r="B11" s="10" t="s">
        <v>361</v>
      </c>
      <c r="C11" s="122" t="s">
        <v>13</v>
      </c>
      <c r="D11" s="6" t="s">
        <v>399</v>
      </c>
      <c r="E11" s="129" t="s">
        <v>400</v>
      </c>
    </row>
    <row r="12" spans="1:9">
      <c r="A12" s="273"/>
      <c r="B12" s="130" t="s">
        <v>26</v>
      </c>
      <c r="C12" s="122" t="s">
        <v>13</v>
      </c>
      <c r="D12" s="6" t="s">
        <v>401</v>
      </c>
      <c r="E12" s="129" t="s">
        <v>402</v>
      </c>
    </row>
    <row r="13" spans="1:9">
      <c r="A13" s="273"/>
      <c r="B13" s="5" t="s">
        <v>363</v>
      </c>
      <c r="C13" s="122" t="s">
        <v>13</v>
      </c>
      <c r="D13" s="6" t="s">
        <v>403</v>
      </c>
      <c r="E13" s="129" t="s">
        <v>404</v>
      </c>
    </row>
    <row r="14" spans="1:9">
      <c r="A14" s="273"/>
      <c r="B14" s="5" t="s">
        <v>365</v>
      </c>
      <c r="C14" s="122" t="s">
        <v>13</v>
      </c>
      <c r="D14" s="6" t="s">
        <v>405</v>
      </c>
      <c r="E14" s="129" t="s">
        <v>406</v>
      </c>
    </row>
    <row r="15" spans="1:9">
      <c r="A15" s="273"/>
      <c r="B15" s="5" t="s">
        <v>364</v>
      </c>
      <c r="C15" s="122" t="s">
        <v>13</v>
      </c>
      <c r="D15" s="6" t="s">
        <v>407</v>
      </c>
      <c r="E15" s="129" t="s">
        <v>408</v>
      </c>
    </row>
    <row r="16" spans="1:9">
      <c r="A16" s="273"/>
      <c r="B16" s="10" t="s">
        <v>34</v>
      </c>
      <c r="C16" s="122" t="s">
        <v>13</v>
      </c>
      <c r="D16" s="6" t="s">
        <v>409</v>
      </c>
      <c r="E16" s="129" t="s">
        <v>410</v>
      </c>
    </row>
    <row r="17" spans="1:5">
      <c r="A17" s="273"/>
      <c r="B17" s="5" t="s">
        <v>39</v>
      </c>
      <c r="C17" s="122" t="s">
        <v>13</v>
      </c>
      <c r="D17" s="6" t="s">
        <v>411</v>
      </c>
      <c r="E17" s="129" t="s">
        <v>412</v>
      </c>
    </row>
    <row r="18" spans="1:5">
      <c r="A18" s="273"/>
      <c r="B18" s="10" t="s">
        <v>42</v>
      </c>
      <c r="C18" s="122" t="s">
        <v>13</v>
      </c>
      <c r="D18" s="6" t="s">
        <v>413</v>
      </c>
      <c r="E18" s="129" t="s">
        <v>414</v>
      </c>
    </row>
    <row r="19" spans="1:5">
      <c r="A19" s="274"/>
      <c r="B19" s="5" t="s">
        <v>20</v>
      </c>
      <c r="C19" s="122" t="s">
        <v>13</v>
      </c>
      <c r="D19" s="6" t="s">
        <v>415</v>
      </c>
      <c r="E19" s="129" t="s">
        <v>416</v>
      </c>
    </row>
    <row r="20" spans="1:5">
      <c r="A20" s="272" t="s">
        <v>127</v>
      </c>
      <c r="B20" s="12" t="s">
        <v>165</v>
      </c>
      <c r="C20" s="122" t="s">
        <v>366</v>
      </c>
    </row>
    <row r="21" spans="1:5">
      <c r="A21" s="273"/>
      <c r="B21" s="5" t="s">
        <v>125</v>
      </c>
      <c r="C21" s="122" t="s">
        <v>366</v>
      </c>
      <c r="E21" s="129" t="s">
        <v>417</v>
      </c>
    </row>
    <row r="22" spans="1:5">
      <c r="A22" s="273"/>
      <c r="B22" s="5" t="s">
        <v>133</v>
      </c>
      <c r="C22" s="122" t="s">
        <v>366</v>
      </c>
      <c r="D22" s="6" t="s">
        <v>418</v>
      </c>
      <c r="E22" s="129" t="s">
        <v>419</v>
      </c>
    </row>
    <row r="23" spans="1:5">
      <c r="A23" s="273"/>
      <c r="B23" s="5" t="s">
        <v>154</v>
      </c>
      <c r="C23" s="122" t="s">
        <v>366</v>
      </c>
      <c r="D23" s="6" t="s">
        <v>420</v>
      </c>
      <c r="E23" s="129" t="s">
        <v>421</v>
      </c>
    </row>
    <row r="24" spans="1:5">
      <c r="A24" s="273"/>
      <c r="B24" s="5" t="s">
        <v>130</v>
      </c>
      <c r="C24" s="122" t="s">
        <v>366</v>
      </c>
      <c r="D24" s="6" t="s">
        <v>422</v>
      </c>
      <c r="E24" s="129" t="s">
        <v>423</v>
      </c>
    </row>
    <row r="25" spans="1:5">
      <c r="A25" s="274"/>
      <c r="B25" s="10" t="s">
        <v>157</v>
      </c>
      <c r="C25" s="122" t="s">
        <v>366</v>
      </c>
      <c r="D25" s="6" t="s">
        <v>424</v>
      </c>
      <c r="E25" s="129" t="s">
        <v>425</v>
      </c>
    </row>
    <row r="26" spans="1:5">
      <c r="A26" s="272" t="s">
        <v>57</v>
      </c>
      <c r="B26" s="7" t="s">
        <v>378</v>
      </c>
      <c r="C26" s="23" t="s">
        <v>89</v>
      </c>
      <c r="D26" s="6" t="s">
        <v>426</v>
      </c>
      <c r="E26" s="129" t="s">
        <v>427</v>
      </c>
    </row>
    <row r="27" spans="1:5">
      <c r="A27" s="273"/>
      <c r="B27" s="7" t="s">
        <v>60</v>
      </c>
      <c r="C27" s="122" t="s">
        <v>13</v>
      </c>
      <c r="D27" s="6" t="s">
        <v>428</v>
      </c>
      <c r="E27" s="129" t="s">
        <v>429</v>
      </c>
    </row>
    <row r="28" spans="1:5">
      <c r="A28" s="273"/>
      <c r="B28" s="7" t="s">
        <v>55</v>
      </c>
      <c r="C28" s="122" t="s">
        <v>13</v>
      </c>
      <c r="D28" s="6" t="s">
        <v>430</v>
      </c>
      <c r="E28" s="129" t="s">
        <v>431</v>
      </c>
    </row>
    <row r="29" spans="1:5">
      <c r="A29" s="273"/>
      <c r="B29" s="7" t="s">
        <v>93</v>
      </c>
      <c r="C29" s="23" t="s">
        <v>89</v>
      </c>
      <c r="D29" s="6" t="s">
        <v>432</v>
      </c>
      <c r="E29" s="129" t="s">
        <v>433</v>
      </c>
    </row>
    <row r="30" spans="1:5">
      <c r="A30" s="274"/>
      <c r="B30" s="7" t="s">
        <v>67</v>
      </c>
      <c r="C30" s="122" t="s">
        <v>377</v>
      </c>
      <c r="D30" s="6" t="s">
        <v>434</v>
      </c>
      <c r="E30" s="129" t="s">
        <v>435</v>
      </c>
    </row>
    <row r="31" spans="1:5">
      <c r="A31" s="272" t="s">
        <v>113</v>
      </c>
      <c r="B31" s="10" t="s">
        <v>370</v>
      </c>
      <c r="C31" s="122" t="s">
        <v>366</v>
      </c>
      <c r="D31" s="6" t="s">
        <v>436</v>
      </c>
      <c r="E31" s="129" t="s">
        <v>437</v>
      </c>
    </row>
    <row r="32" spans="1:5">
      <c r="A32" s="273"/>
      <c r="B32" s="10" t="s">
        <v>369</v>
      </c>
      <c r="C32" s="122" t="s">
        <v>366</v>
      </c>
      <c r="D32" s="6" t="s">
        <v>438</v>
      </c>
      <c r="E32" s="129" t="s">
        <v>439</v>
      </c>
    </row>
    <row r="33" spans="1:5">
      <c r="A33" s="273"/>
      <c r="B33" s="10" t="s">
        <v>368</v>
      </c>
      <c r="C33" s="122" t="s">
        <v>366</v>
      </c>
      <c r="D33" s="6" t="s">
        <v>440</v>
      </c>
      <c r="E33" s="129" t="s">
        <v>441</v>
      </c>
    </row>
    <row r="34" spans="1:5">
      <c r="A34" s="274"/>
      <c r="B34" s="10" t="s">
        <v>177</v>
      </c>
      <c r="C34" s="122" t="s">
        <v>366</v>
      </c>
      <c r="D34" s="6" t="s">
        <v>442</v>
      </c>
      <c r="E34" s="129" t="s">
        <v>443</v>
      </c>
    </row>
    <row r="35" spans="1:5">
      <c r="A35" s="272" t="s">
        <v>103</v>
      </c>
      <c r="B35" s="5" t="s">
        <v>101</v>
      </c>
      <c r="C35" s="122" t="s">
        <v>366</v>
      </c>
      <c r="D35" s="6" t="s">
        <v>444</v>
      </c>
      <c r="E35" s="129">
        <v>9061382006</v>
      </c>
    </row>
    <row r="36" spans="1:5">
      <c r="A36" s="273"/>
      <c r="B36" s="10" t="s">
        <v>144</v>
      </c>
      <c r="C36" s="122" t="s">
        <v>366</v>
      </c>
      <c r="D36" s="6" t="s">
        <v>445</v>
      </c>
      <c r="E36" s="129">
        <v>8139853040</v>
      </c>
    </row>
    <row r="37" spans="1:5">
      <c r="A37" s="273"/>
      <c r="B37" s="5" t="s">
        <v>375</v>
      </c>
      <c r="C37" s="122" t="s">
        <v>13</v>
      </c>
      <c r="D37" s="6" t="s">
        <v>446</v>
      </c>
      <c r="E37" s="129" t="s">
        <v>447</v>
      </c>
    </row>
    <row r="38" spans="1:5">
      <c r="A38" s="273"/>
      <c r="B38" s="5" t="s">
        <v>168</v>
      </c>
      <c r="C38" s="122" t="s">
        <v>366</v>
      </c>
      <c r="D38" s="123"/>
    </row>
    <row r="39" spans="1:5">
      <c r="A39" s="273"/>
      <c r="B39" s="10" t="s">
        <v>106</v>
      </c>
      <c r="C39" s="122" t="s">
        <v>366</v>
      </c>
      <c r="D39" s="6" t="s">
        <v>448</v>
      </c>
      <c r="E39" s="129">
        <v>9895393902</v>
      </c>
    </row>
    <row r="40" spans="1:5">
      <c r="A40" s="274"/>
      <c r="B40" s="5" t="s">
        <v>376</v>
      </c>
      <c r="C40" s="122" t="s">
        <v>366</v>
      </c>
      <c r="D40" s="6" t="s">
        <v>449</v>
      </c>
      <c r="E40" s="129">
        <v>7736319781</v>
      </c>
    </row>
    <row r="41" spans="1:5">
      <c r="A41" s="272" t="s">
        <v>90</v>
      </c>
      <c r="B41" s="10" t="s">
        <v>163</v>
      </c>
      <c r="C41" s="122" t="s">
        <v>366</v>
      </c>
      <c r="D41" s="6" t="s">
        <v>450</v>
      </c>
      <c r="E41" s="129" t="s">
        <v>451</v>
      </c>
    </row>
    <row r="42" spans="1:5">
      <c r="A42" s="273"/>
      <c r="B42" s="10" t="s">
        <v>174</v>
      </c>
      <c r="C42" s="122" t="s">
        <v>366</v>
      </c>
      <c r="D42" s="6" t="s">
        <v>452</v>
      </c>
      <c r="E42" s="129" t="s">
        <v>453</v>
      </c>
    </row>
    <row r="43" spans="1:5">
      <c r="A43" s="273"/>
      <c r="B43" s="5" t="s">
        <v>150</v>
      </c>
      <c r="C43" s="122" t="s">
        <v>366</v>
      </c>
      <c r="D43" s="6" t="s">
        <v>454</v>
      </c>
      <c r="E43" s="129" t="s">
        <v>455</v>
      </c>
    </row>
    <row r="44" spans="1:5">
      <c r="A44" s="274"/>
      <c r="B44" s="121" t="s">
        <v>88</v>
      </c>
      <c r="C44" s="23" t="s">
        <v>89</v>
      </c>
      <c r="D44" s="6" t="s">
        <v>456</v>
      </c>
      <c r="E44" s="129" t="s">
        <v>457</v>
      </c>
    </row>
    <row r="45" spans="1:5">
      <c r="A45" s="272" t="s">
        <v>205</v>
      </c>
      <c r="B45" s="5" t="s">
        <v>214</v>
      </c>
      <c r="C45" s="122" t="s">
        <v>353</v>
      </c>
      <c r="D45" s="6" t="s">
        <v>458</v>
      </c>
    </row>
    <row r="46" spans="1:5">
      <c r="A46" s="273"/>
      <c r="B46" s="7" t="s">
        <v>357</v>
      </c>
      <c r="C46" s="72" t="s">
        <v>358</v>
      </c>
    </row>
    <row r="47" spans="1:5">
      <c r="A47" s="273"/>
      <c r="B47" s="7" t="s">
        <v>359</v>
      </c>
      <c r="C47" s="72" t="s">
        <v>358</v>
      </c>
    </row>
    <row r="48" spans="1:5">
      <c r="A48" s="273"/>
      <c r="B48" s="5" t="s">
        <v>203</v>
      </c>
      <c r="C48" s="122" t="s">
        <v>353</v>
      </c>
      <c r="D48" s="6" t="s">
        <v>459</v>
      </c>
    </row>
    <row r="49" spans="1:5">
      <c r="A49" s="273"/>
      <c r="B49" s="10" t="s">
        <v>208</v>
      </c>
      <c r="C49" s="122" t="s">
        <v>353</v>
      </c>
    </row>
    <row r="50" spans="1:5">
      <c r="A50" s="273"/>
      <c r="B50" s="10" t="s">
        <v>219</v>
      </c>
      <c r="C50" s="122" t="s">
        <v>353</v>
      </c>
    </row>
    <row r="51" spans="1:5">
      <c r="A51" s="273"/>
      <c r="B51" s="7" t="s">
        <v>355</v>
      </c>
      <c r="C51" s="122" t="s">
        <v>353</v>
      </c>
      <c r="D51" s="6" t="s">
        <v>460</v>
      </c>
    </row>
    <row r="52" spans="1:5">
      <c r="A52" s="274"/>
      <c r="B52" s="5" t="s">
        <v>217</v>
      </c>
      <c r="C52" s="122" t="s">
        <v>353</v>
      </c>
    </row>
    <row r="53" spans="1:5">
      <c r="A53" s="272" t="s">
        <v>73</v>
      </c>
      <c r="B53" s="10" t="s">
        <v>76</v>
      </c>
      <c r="C53" s="122" t="s">
        <v>68</v>
      </c>
      <c r="D53" s="6" t="s">
        <v>461</v>
      </c>
      <c r="E53" s="129" t="s">
        <v>462</v>
      </c>
    </row>
    <row r="54" spans="1:5">
      <c r="A54" s="273"/>
      <c r="B54" s="5" t="s">
        <v>196</v>
      </c>
      <c r="C54" s="122" t="s">
        <v>68</v>
      </c>
    </row>
    <row r="55" spans="1:5">
      <c r="A55" s="273"/>
      <c r="B55" s="7" t="s">
        <v>82</v>
      </c>
      <c r="C55" s="122" t="s">
        <v>68</v>
      </c>
    </row>
    <row r="56" spans="1:5">
      <c r="A56" s="274"/>
      <c r="B56" s="10" t="s">
        <v>71</v>
      </c>
      <c r="C56" s="122" t="s">
        <v>68</v>
      </c>
      <c r="D56" s="6" t="s">
        <v>463</v>
      </c>
      <c r="E56" s="129" t="s">
        <v>464</v>
      </c>
    </row>
    <row r="57" spans="1:5">
      <c r="A57" s="6"/>
    </row>
    <row r="58" spans="1:5">
      <c r="A58" s="6"/>
    </row>
    <row r="59" spans="1:5">
      <c r="A59" s="6"/>
    </row>
    <row r="60" spans="1:5">
      <c r="A60" s="6"/>
    </row>
    <row r="61" spans="1:5">
      <c r="A61" s="126"/>
      <c r="B61" s="7"/>
    </row>
    <row r="62" spans="1:5">
      <c r="A62" s="126"/>
      <c r="B62" s="7"/>
    </row>
    <row r="63" spans="1:5">
      <c r="A63" s="126"/>
      <c r="B63" s="7"/>
    </row>
    <row r="64" spans="1:5">
      <c r="A64" s="126"/>
      <c r="B64" s="7"/>
    </row>
    <row r="65" spans="1:2">
      <c r="A65" s="126"/>
      <c r="B65" s="7"/>
    </row>
    <row r="66" spans="1:2">
      <c r="A66" s="126"/>
      <c r="B66" s="7"/>
    </row>
    <row r="67" spans="1:2">
      <c r="A67" s="126"/>
      <c r="B67" s="7"/>
    </row>
    <row r="68" spans="1:2">
      <c r="A68" s="126"/>
      <c r="B68" s="7"/>
    </row>
    <row r="69" spans="1:2">
      <c r="A69" s="126"/>
      <c r="B69" s="7"/>
    </row>
    <row r="70" spans="1:2">
      <c r="A70" s="126"/>
      <c r="B70" s="7"/>
    </row>
    <row r="71" spans="1:2">
      <c r="A71" s="126"/>
      <c r="B71" s="7"/>
    </row>
    <row r="72" spans="1:2">
      <c r="A72" s="126"/>
      <c r="B72" s="7"/>
    </row>
    <row r="73" spans="1:2">
      <c r="A73" s="126"/>
      <c r="B73" s="7"/>
    </row>
  </sheetData>
  <sortState xmlns:xlrd2="http://schemas.microsoft.com/office/spreadsheetml/2017/richdata2" ref="A2:C75">
    <sortCondition ref="B2:B75"/>
  </sortState>
  <mergeCells count="9">
    <mergeCell ref="A35:A40"/>
    <mergeCell ref="A45:A52"/>
    <mergeCell ref="A53:A56"/>
    <mergeCell ref="A41:A44"/>
    <mergeCell ref="A2:A7"/>
    <mergeCell ref="A8:A19"/>
    <mergeCell ref="A20:A25"/>
    <mergeCell ref="A26:A30"/>
    <mergeCell ref="A31:A34"/>
  </mergeCells>
  <dataValidations count="1">
    <dataValidation allowBlank="1" showInputMessage="1" showErrorMessage="1" sqref="A1:C1" xr:uid="{D80CFAF6-0412-4C80-BD8D-65B1EDE9DA4C}"/>
  </dataValidations>
  <hyperlinks>
    <hyperlink ref="D32" r:id="rId1" xr:uid="{56EEA7BF-A517-423A-B706-9B5D7FD37396}"/>
    <hyperlink ref="D40" r:id="rId2" xr:uid="{62B3A144-C7A0-4396-9680-3A1A0A817EA0}"/>
    <hyperlink ref="D48" r:id="rId3" xr:uid="{8F0CA8BC-EDE1-4D48-8884-FDE9C2325685}"/>
    <hyperlink ref="D51" r:id="rId4" xr:uid="{5DC2C621-13F3-46DA-8ED6-A62149E2B724}"/>
    <hyperlink ref="D9" r:id="rId5" xr:uid="{179FEDF0-8D68-4C2A-A992-22AA237BB9DA}"/>
    <hyperlink ref="D25" r:id="rId6" xr:uid="{BA1A9CC3-6444-4B12-8FF0-FA8BFF781B02}"/>
    <hyperlink ref="D24" r:id="rId7" xr:uid="{CD65E601-3A3E-40E1-B185-FB9DD0C09734}"/>
    <hyperlink ref="D22" r:id="rId8" xr:uid="{39062063-A9EA-433F-A6D2-66C82D138DC4}"/>
    <hyperlink ref="D2" r:id="rId9" xr:uid="{752141AF-67FE-4643-B125-FE6F1360D263}"/>
    <hyperlink ref="D6" r:id="rId10" xr:uid="{4A1AE43E-9F02-4C41-86DF-E1540717CC25}"/>
    <hyperlink ref="D7" r:id="rId11" xr:uid="{D9FD2D66-9278-4183-AE49-1838B837DE03}"/>
    <hyperlink ref="D35" r:id="rId12" xr:uid="{97D9BBAD-74A4-478D-9AF5-05D933BF27A6}"/>
    <hyperlink ref="D36" r:id="rId13" xr:uid="{9F45E7C2-3461-46E2-B666-6D692A3CA9BC}"/>
    <hyperlink ref="D41" r:id="rId14" xr:uid="{0F3CED20-D6FA-40F3-BE0D-99CC8A96FFB8}"/>
    <hyperlink ref="D43" r:id="rId15" xr:uid="{61F86161-368E-414C-839D-2CCF635B2A1C}"/>
    <hyperlink ref="D42" r:id="rId16" xr:uid="{F694F07F-40C3-49CD-8B01-C50280F9354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4256-79BC-485B-A9D6-F0874516E2A5}">
  <dimension ref="A1:H50"/>
  <sheetViews>
    <sheetView workbookViewId="0">
      <selection activeCell="H14" sqref="H13:H14"/>
    </sheetView>
  </sheetViews>
  <sheetFormatPr defaultColWidth="9.140625" defaultRowHeight="15"/>
  <cols>
    <col min="1" max="1" width="9.140625" style="6"/>
    <col min="2" max="2" width="39.5703125" style="6" customWidth="1"/>
    <col min="3" max="3" width="28.5703125" style="6" customWidth="1"/>
    <col min="4" max="4" width="26.28515625" style="6" customWidth="1"/>
    <col min="5" max="5" width="25.42578125" style="6" customWidth="1"/>
    <col min="6" max="6" width="20.140625" style="88" customWidth="1"/>
    <col min="7" max="7" width="9.28515625" style="6" bestFit="1" customWidth="1"/>
    <col min="8" max="16384" width="9.140625" style="6"/>
  </cols>
  <sheetData>
    <row r="1" spans="1:8">
      <c r="A1" s="1" t="s">
        <v>248</v>
      </c>
      <c r="B1" s="1" t="s">
        <v>1</v>
      </c>
      <c r="C1" s="1" t="s">
        <v>2</v>
      </c>
      <c r="D1" s="1" t="s">
        <v>3</v>
      </c>
      <c r="E1" s="1" t="s">
        <v>4</v>
      </c>
      <c r="F1" s="87" t="s">
        <v>465</v>
      </c>
      <c r="G1" s="1" t="s">
        <v>6</v>
      </c>
    </row>
    <row r="2" spans="1:8">
      <c r="A2" s="6">
        <v>1</v>
      </c>
      <c r="B2" s="2" t="s">
        <v>171</v>
      </c>
      <c r="C2" s="2" t="s">
        <v>111</v>
      </c>
      <c r="D2" s="2" t="s">
        <v>14</v>
      </c>
      <c r="E2" s="2" t="s">
        <v>466</v>
      </c>
      <c r="F2" s="88">
        <v>46113</v>
      </c>
      <c r="H2" s="6" t="s">
        <v>467</v>
      </c>
    </row>
    <row r="3" spans="1:8">
      <c r="A3" s="6">
        <v>2</v>
      </c>
      <c r="B3" s="47" t="s">
        <v>106</v>
      </c>
      <c r="C3" s="2" t="s">
        <v>97</v>
      </c>
      <c r="D3" s="6" t="s">
        <v>377</v>
      </c>
      <c r="E3" s="6" t="s">
        <v>468</v>
      </c>
      <c r="F3" s="88">
        <v>46132</v>
      </c>
    </row>
    <row r="4" spans="1:8">
      <c r="A4" s="6">
        <v>3</v>
      </c>
      <c r="B4" s="2" t="s">
        <v>177</v>
      </c>
      <c r="C4" s="2" t="s">
        <v>111</v>
      </c>
      <c r="D4" s="2" t="s">
        <v>61</v>
      </c>
      <c r="E4" s="2" t="s">
        <v>469</v>
      </c>
      <c r="F4" s="88">
        <v>46146</v>
      </c>
    </row>
    <row r="5" spans="1:8">
      <c r="A5" s="6">
        <v>4</v>
      </c>
      <c r="B5" s="6" t="s">
        <v>76</v>
      </c>
      <c r="C5" s="6" t="s">
        <v>470</v>
      </c>
      <c r="D5" s="6" t="s">
        <v>377</v>
      </c>
      <c r="E5" s="6" t="s">
        <v>471</v>
      </c>
      <c r="F5" s="88">
        <v>46174</v>
      </c>
    </row>
    <row r="6" spans="1:8">
      <c r="A6" s="6">
        <v>5</v>
      </c>
      <c r="B6" s="6" t="s">
        <v>71</v>
      </c>
      <c r="C6" s="6" t="s">
        <v>470</v>
      </c>
      <c r="D6" s="6" t="s">
        <v>377</v>
      </c>
      <c r="E6" s="6" t="s">
        <v>471</v>
      </c>
      <c r="F6" s="88">
        <v>46174</v>
      </c>
    </row>
    <row r="7" spans="1:8">
      <c r="A7" s="6">
        <v>6</v>
      </c>
      <c r="B7" s="7" t="s">
        <v>55</v>
      </c>
      <c r="C7" s="2" t="s">
        <v>13</v>
      </c>
      <c r="D7" s="2" t="s">
        <v>472</v>
      </c>
      <c r="E7" s="6" t="s">
        <v>473</v>
      </c>
      <c r="F7" s="88">
        <v>46180</v>
      </c>
    </row>
    <row r="8" spans="1:8">
      <c r="A8" s="6">
        <v>7</v>
      </c>
      <c r="B8" s="6" t="s">
        <v>88</v>
      </c>
      <c r="C8" s="6" t="s">
        <v>89</v>
      </c>
      <c r="D8" s="6" t="s">
        <v>377</v>
      </c>
      <c r="E8" s="6" t="s">
        <v>377</v>
      </c>
      <c r="F8" s="88">
        <v>46188</v>
      </c>
    </row>
    <row r="9" spans="1:8">
      <c r="A9" s="6">
        <v>8</v>
      </c>
      <c r="B9" s="2" t="s">
        <v>47</v>
      </c>
      <c r="C9" s="2" t="s">
        <v>13</v>
      </c>
      <c r="D9" s="2" t="s">
        <v>472</v>
      </c>
      <c r="E9" s="2" t="s">
        <v>474</v>
      </c>
      <c r="F9" s="88">
        <v>46202</v>
      </c>
    </row>
    <row r="10" spans="1:8">
      <c r="A10" s="6">
        <v>9</v>
      </c>
      <c r="B10" s="2" t="s">
        <v>52</v>
      </c>
      <c r="C10" s="2" t="s">
        <v>13</v>
      </c>
      <c r="D10" s="2" t="s">
        <v>472</v>
      </c>
      <c r="E10" s="2" t="s">
        <v>474</v>
      </c>
      <c r="F10" s="88">
        <v>46202</v>
      </c>
    </row>
    <row r="11" spans="1:8">
      <c r="A11" s="6">
        <v>10</v>
      </c>
      <c r="B11" s="7" t="s">
        <v>67</v>
      </c>
      <c r="C11" s="2" t="s">
        <v>111</v>
      </c>
      <c r="D11" s="6" t="s">
        <v>377</v>
      </c>
      <c r="E11" s="6" t="s">
        <v>468</v>
      </c>
      <c r="F11" s="88">
        <v>46209</v>
      </c>
    </row>
    <row r="12" spans="1:8">
      <c r="A12" s="6">
        <v>11</v>
      </c>
      <c r="B12" s="7" t="s">
        <v>60</v>
      </c>
      <c r="C12" s="2" t="s">
        <v>13</v>
      </c>
      <c r="D12" s="2" t="s">
        <v>472</v>
      </c>
      <c r="E12" s="6" t="s">
        <v>473</v>
      </c>
      <c r="F12" s="88">
        <v>46209</v>
      </c>
    </row>
    <row r="13" spans="1:8">
      <c r="A13" s="6">
        <v>12</v>
      </c>
      <c r="B13" s="7" t="s">
        <v>63</v>
      </c>
      <c r="C13" s="6" t="s">
        <v>475</v>
      </c>
      <c r="D13" s="6" t="s">
        <v>377</v>
      </c>
      <c r="E13" s="6" t="s">
        <v>377</v>
      </c>
      <c r="F13" s="88">
        <v>46209</v>
      </c>
    </row>
    <row r="14" spans="1:8">
      <c r="A14" s="6">
        <v>13</v>
      </c>
      <c r="B14" s="7" t="s">
        <v>93</v>
      </c>
      <c r="C14" s="6" t="s">
        <v>89</v>
      </c>
      <c r="D14" s="6" t="s">
        <v>476</v>
      </c>
      <c r="E14" s="6" t="s">
        <v>477</v>
      </c>
      <c r="F14" s="88">
        <v>46217</v>
      </c>
    </row>
    <row r="15" spans="1:8">
      <c r="A15" s="6">
        <v>14</v>
      </c>
      <c r="B15" s="6" t="s">
        <v>199</v>
      </c>
      <c r="C15" s="6" t="s">
        <v>111</v>
      </c>
      <c r="D15" s="6" t="s">
        <v>476</v>
      </c>
      <c r="E15" s="6" t="s">
        <v>477</v>
      </c>
      <c r="F15" s="88">
        <v>46223</v>
      </c>
    </row>
    <row r="16" spans="1:8">
      <c r="A16" s="6">
        <v>15</v>
      </c>
      <c r="B16" s="6" t="s">
        <v>478</v>
      </c>
      <c r="C16" s="6" t="s">
        <v>479</v>
      </c>
      <c r="D16" s="6" t="s">
        <v>61</v>
      </c>
      <c r="E16" s="6" t="s">
        <v>480</v>
      </c>
      <c r="F16" s="88">
        <v>46230</v>
      </c>
    </row>
    <row r="17" spans="1:7">
      <c r="A17" s="6">
        <v>16</v>
      </c>
      <c r="B17" s="4" t="s">
        <v>371</v>
      </c>
      <c r="C17" s="6" t="s">
        <v>89</v>
      </c>
      <c r="D17" s="6" t="s">
        <v>61</v>
      </c>
      <c r="E17" s="6" t="s">
        <v>480</v>
      </c>
      <c r="F17" s="88">
        <v>46230</v>
      </c>
    </row>
    <row r="18" spans="1:7">
      <c r="A18" s="6">
        <v>17</v>
      </c>
      <c r="B18" s="4" t="s">
        <v>373</v>
      </c>
      <c r="C18" s="6" t="s">
        <v>89</v>
      </c>
      <c r="D18" s="6" t="s">
        <v>61</v>
      </c>
      <c r="E18" s="6" t="s">
        <v>480</v>
      </c>
      <c r="F18" s="88">
        <v>46230</v>
      </c>
    </row>
    <row r="19" spans="1:7">
      <c r="A19" s="6">
        <v>18</v>
      </c>
      <c r="B19" s="4" t="s">
        <v>372</v>
      </c>
      <c r="C19" s="6" t="s">
        <v>111</v>
      </c>
      <c r="D19" s="6" t="s">
        <v>61</v>
      </c>
      <c r="E19" s="6" t="s">
        <v>480</v>
      </c>
      <c r="F19" s="88">
        <v>46230</v>
      </c>
    </row>
    <row r="20" spans="1:7">
      <c r="A20" s="6">
        <v>19</v>
      </c>
      <c r="B20" s="6" t="s">
        <v>481</v>
      </c>
      <c r="C20" s="6" t="s">
        <v>479</v>
      </c>
      <c r="D20" s="6" t="s">
        <v>61</v>
      </c>
      <c r="E20" s="6" t="s">
        <v>480</v>
      </c>
      <c r="F20" s="88">
        <v>46232</v>
      </c>
    </row>
    <row r="21" spans="1:7">
      <c r="A21" s="6">
        <v>20</v>
      </c>
      <c r="B21" s="6" t="s">
        <v>364</v>
      </c>
      <c r="C21" s="6" t="s">
        <v>13</v>
      </c>
      <c r="D21" s="6" t="s">
        <v>476</v>
      </c>
      <c r="F21" s="89">
        <v>46237</v>
      </c>
    </row>
    <row r="22" spans="1:7">
      <c r="A22" s="6">
        <v>21</v>
      </c>
      <c r="B22" s="6" t="s">
        <v>482</v>
      </c>
      <c r="C22" s="6" t="s">
        <v>13</v>
      </c>
      <c r="D22" s="6" t="s">
        <v>476</v>
      </c>
      <c r="F22" s="89">
        <v>46237</v>
      </c>
    </row>
    <row r="23" spans="1:7">
      <c r="A23" s="6">
        <v>22</v>
      </c>
      <c r="B23" s="6" t="s">
        <v>483</v>
      </c>
      <c r="C23" s="6" t="s">
        <v>89</v>
      </c>
      <c r="D23" s="6" t="s">
        <v>476</v>
      </c>
      <c r="F23" s="89">
        <v>46237</v>
      </c>
    </row>
    <row r="24" spans="1:7">
      <c r="A24" s="6">
        <v>23</v>
      </c>
      <c r="B24" s="6" t="s">
        <v>484</v>
      </c>
      <c r="C24" s="6" t="s">
        <v>89</v>
      </c>
      <c r="D24" s="6" t="s">
        <v>476</v>
      </c>
      <c r="F24" s="89">
        <v>46237</v>
      </c>
    </row>
    <row r="25" spans="1:7">
      <c r="A25" s="6">
        <v>24</v>
      </c>
      <c r="B25" s="6" t="s">
        <v>485</v>
      </c>
      <c r="C25" s="6" t="s">
        <v>13</v>
      </c>
      <c r="D25" s="6" t="s">
        <v>56</v>
      </c>
      <c r="F25" s="89">
        <v>46237</v>
      </c>
    </row>
    <row r="26" spans="1:7">
      <c r="A26" s="6">
        <v>25</v>
      </c>
      <c r="B26" s="18" t="s">
        <v>375</v>
      </c>
      <c r="C26" s="6" t="s">
        <v>13</v>
      </c>
      <c r="D26" s="6" t="s">
        <v>476</v>
      </c>
      <c r="F26" s="89">
        <v>46245</v>
      </c>
    </row>
    <row r="27" spans="1:7">
      <c r="A27" s="6">
        <v>26</v>
      </c>
      <c r="B27" s="6" t="s">
        <v>486</v>
      </c>
      <c r="C27" s="6" t="s">
        <v>89</v>
      </c>
      <c r="F27" s="89">
        <v>46251</v>
      </c>
    </row>
    <row r="28" spans="1:7">
      <c r="A28" s="6">
        <v>27</v>
      </c>
      <c r="B28" s="6" t="s">
        <v>487</v>
      </c>
      <c r="C28" s="6" t="s">
        <v>111</v>
      </c>
      <c r="F28" s="89">
        <v>46251</v>
      </c>
    </row>
    <row r="30" spans="1:7">
      <c r="B30" s="2"/>
      <c r="C30" s="2"/>
      <c r="D30" s="2"/>
      <c r="E30" s="2"/>
      <c r="G30" s="3"/>
    </row>
    <row r="31" spans="1:7">
      <c r="B31" s="2"/>
      <c r="C31" s="2"/>
      <c r="D31" s="2"/>
      <c r="E31" s="2"/>
      <c r="G31" s="3"/>
    </row>
    <row r="32" spans="1:7">
      <c r="B32" s="2"/>
      <c r="C32" s="2"/>
      <c r="D32" s="2"/>
      <c r="E32" s="2"/>
      <c r="G32" s="3"/>
    </row>
    <row r="33" spans="2:7">
      <c r="B33" s="2"/>
      <c r="C33" s="2"/>
      <c r="D33" s="2"/>
      <c r="E33" s="2"/>
      <c r="G33" s="3"/>
    </row>
    <row r="34" spans="2:7">
      <c r="B34" s="2"/>
      <c r="C34" s="2"/>
      <c r="D34" s="2"/>
      <c r="E34" s="2"/>
      <c r="G34" s="3"/>
    </row>
    <row r="35" spans="2:7">
      <c r="B35" s="47"/>
      <c r="C35" s="2"/>
      <c r="D35" s="2"/>
      <c r="E35" s="2"/>
      <c r="G35" s="3"/>
    </row>
    <row r="36" spans="2:7">
      <c r="B36" s="2"/>
      <c r="C36" s="2"/>
      <c r="D36" s="2"/>
      <c r="E36" s="5"/>
      <c r="G36" s="3"/>
    </row>
    <row r="37" spans="2:7">
      <c r="B37" s="2"/>
      <c r="C37" s="2"/>
      <c r="D37" s="2"/>
      <c r="E37" s="5"/>
      <c r="G37" s="3"/>
    </row>
    <row r="38" spans="2:7">
      <c r="B38" s="2"/>
      <c r="C38" s="2"/>
      <c r="D38" s="2"/>
      <c r="E38" s="5"/>
      <c r="G38" s="3"/>
    </row>
    <row r="39" spans="2:7">
      <c r="B39" s="47"/>
      <c r="C39" s="5"/>
      <c r="D39" s="2"/>
      <c r="E39" s="5"/>
      <c r="G39" s="3"/>
    </row>
    <row r="40" spans="2:7">
      <c r="B40" s="47"/>
      <c r="C40" s="5"/>
      <c r="D40" s="2"/>
      <c r="E40" s="5"/>
      <c r="G40" s="3"/>
    </row>
    <row r="43" spans="2:7">
      <c r="D43" s="2"/>
    </row>
    <row r="44" spans="2:7">
      <c r="D44" s="2"/>
    </row>
    <row r="45" spans="2:7">
      <c r="D45" s="2"/>
    </row>
    <row r="46" spans="2:7">
      <c r="B46" s="2"/>
      <c r="C46" s="2"/>
      <c r="E46" s="2"/>
      <c r="G46" s="3"/>
    </row>
    <row r="47" spans="2:7">
      <c r="B47" s="47"/>
      <c r="C47" s="2"/>
      <c r="E47" s="2"/>
      <c r="G47" s="3"/>
    </row>
    <row r="48" spans="2:7">
      <c r="B48" s="2"/>
      <c r="C48" s="2"/>
      <c r="E48" s="2"/>
      <c r="G48" s="3"/>
    </row>
    <row r="49" spans="2:7">
      <c r="B49" s="2"/>
      <c r="C49" s="2"/>
      <c r="E49" s="2"/>
      <c r="G49" s="3"/>
    </row>
    <row r="50" spans="2:7">
      <c r="E50" s="2"/>
    </row>
  </sheetData>
  <sortState xmlns:xlrd2="http://schemas.microsoft.com/office/spreadsheetml/2017/richdata2" ref="A2:G51">
    <sortCondition ref="F2:F5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9AFB-688B-46C5-BD07-08239EF3A739}">
  <dimension ref="A1:M512"/>
  <sheetViews>
    <sheetView topLeftCell="A3" workbookViewId="0"/>
  </sheetViews>
  <sheetFormatPr defaultRowHeight="15"/>
  <cols>
    <col min="1" max="1" width="9.85546875" bestFit="1" customWidth="1"/>
    <col min="2" max="2" width="24" bestFit="1" customWidth="1"/>
    <col min="3" max="3" width="46.85546875" bestFit="1" customWidth="1"/>
    <col min="4" max="4" width="10.28515625" bestFit="1" customWidth="1"/>
    <col min="5" max="5" width="6.7109375" bestFit="1" customWidth="1"/>
    <col min="6" max="6" width="15.5703125" bestFit="1" customWidth="1"/>
  </cols>
  <sheetData>
    <row r="1" spans="1:13">
      <c r="A1" s="14" t="s">
        <v>0</v>
      </c>
      <c r="B1" s="29" t="s">
        <v>1</v>
      </c>
      <c r="C1" s="54" t="s">
        <v>8</v>
      </c>
      <c r="D1" s="14" t="s">
        <v>9</v>
      </c>
      <c r="E1" s="14" t="s">
        <v>10</v>
      </c>
      <c r="F1" s="14" t="s">
        <v>488</v>
      </c>
    </row>
    <row r="2" spans="1:13">
      <c r="A2" s="6" t="s">
        <v>11</v>
      </c>
      <c r="B2" s="30" t="s">
        <v>12</v>
      </c>
      <c r="C2" s="48" t="s">
        <v>17</v>
      </c>
      <c r="D2" s="6"/>
      <c r="E2" s="6"/>
      <c r="F2" s="6">
        <v>1</v>
      </c>
    </row>
    <row r="3" spans="1:13">
      <c r="A3" s="6" t="s">
        <v>19</v>
      </c>
      <c r="B3" s="55" t="s">
        <v>20</v>
      </c>
      <c r="C3" s="48" t="s">
        <v>24</v>
      </c>
      <c r="D3" s="6"/>
      <c r="E3" s="6"/>
      <c r="F3" s="6">
        <v>1</v>
      </c>
    </row>
    <row r="4" spans="1:13">
      <c r="A4" s="6" t="s">
        <v>25</v>
      </c>
      <c r="B4" s="30" t="s">
        <v>26</v>
      </c>
      <c r="C4" s="48" t="s">
        <v>28</v>
      </c>
      <c r="D4" s="49">
        <v>46213</v>
      </c>
      <c r="E4" s="6" t="s">
        <v>29</v>
      </c>
      <c r="F4" s="6">
        <v>1</v>
      </c>
    </row>
    <row r="5" spans="1:13">
      <c r="A5" s="6" t="s">
        <v>30</v>
      </c>
      <c r="B5" s="30" t="s">
        <v>31</v>
      </c>
      <c r="C5" s="48" t="s">
        <v>32</v>
      </c>
      <c r="D5" s="49">
        <v>46216</v>
      </c>
      <c r="E5" s="6"/>
      <c r="F5" s="6">
        <v>1</v>
      </c>
    </row>
    <row r="6" spans="1:13">
      <c r="A6" s="6" t="s">
        <v>33</v>
      </c>
      <c r="B6" s="30" t="s">
        <v>34</v>
      </c>
      <c r="C6" s="48" t="s">
        <v>37</v>
      </c>
      <c r="D6" s="6"/>
      <c r="E6" s="6"/>
      <c r="F6" s="6">
        <v>1</v>
      </c>
    </row>
    <row r="7" spans="1:13">
      <c r="A7" s="6" t="s">
        <v>38</v>
      </c>
      <c r="B7" s="30" t="s">
        <v>39</v>
      </c>
      <c r="C7" s="48" t="s">
        <v>489</v>
      </c>
      <c r="D7" s="50">
        <v>46212</v>
      </c>
      <c r="E7" s="6" t="s">
        <v>29</v>
      </c>
      <c r="F7" s="6">
        <v>1</v>
      </c>
    </row>
    <row r="8" spans="1:13">
      <c r="A8" s="6" t="s">
        <v>41</v>
      </c>
      <c r="B8" s="30" t="s">
        <v>42</v>
      </c>
      <c r="C8" s="48" t="s">
        <v>45</v>
      </c>
      <c r="D8" s="49">
        <v>46210</v>
      </c>
      <c r="E8" s="6" t="s">
        <v>29</v>
      </c>
      <c r="F8" s="6">
        <v>1</v>
      </c>
    </row>
    <row r="9" spans="1:13">
      <c r="A9" s="6" t="s">
        <v>46</v>
      </c>
      <c r="B9" s="30" t="s">
        <v>47</v>
      </c>
      <c r="C9" s="6" t="s">
        <v>50</v>
      </c>
      <c r="D9" s="49">
        <v>46220</v>
      </c>
      <c r="E9" s="6" t="s">
        <v>29</v>
      </c>
      <c r="F9" s="6">
        <v>1</v>
      </c>
      <c r="M9" cm="1">
        <f t="array" ref="M9">IFERROR(_xlfn._xlws.SORT(_xlfn.UNIQUE(_xlfn._xlws.FILTER(F:F,B:B=Dashboard.!F5))),0)</f>
        <v>1</v>
      </c>
    </row>
    <row r="10" spans="1:13">
      <c r="A10" s="6" t="s">
        <v>51</v>
      </c>
      <c r="B10" s="30" t="s">
        <v>52</v>
      </c>
      <c r="C10" s="6" t="s">
        <v>53</v>
      </c>
      <c r="D10" s="49">
        <v>46220</v>
      </c>
      <c r="E10" s="6" t="s">
        <v>29</v>
      </c>
      <c r="F10" s="6">
        <v>1</v>
      </c>
    </row>
    <row r="11" spans="1:13">
      <c r="A11" s="6" t="s">
        <v>54</v>
      </c>
      <c r="B11" s="30" t="s">
        <v>55</v>
      </c>
      <c r="C11" s="6" t="s">
        <v>58</v>
      </c>
      <c r="D11" s="49">
        <v>46220</v>
      </c>
      <c r="E11" s="6" t="s">
        <v>29</v>
      </c>
      <c r="F11" s="6">
        <v>1</v>
      </c>
    </row>
    <row r="12" spans="1:13">
      <c r="A12" s="6" t="s">
        <v>59</v>
      </c>
      <c r="B12" s="30" t="s">
        <v>60</v>
      </c>
      <c r="C12" s="6" t="s">
        <v>58</v>
      </c>
      <c r="D12" s="49">
        <v>46219</v>
      </c>
      <c r="E12" s="6"/>
      <c r="F12" s="6">
        <v>1</v>
      </c>
    </row>
    <row r="13" spans="1:13">
      <c r="A13" s="6" t="s">
        <v>62</v>
      </c>
      <c r="B13" s="30" t="s">
        <v>63</v>
      </c>
      <c r="C13" s="6" t="s">
        <v>65</v>
      </c>
      <c r="D13" s="6"/>
      <c r="E13" s="6"/>
      <c r="F13" s="6">
        <v>1</v>
      </c>
    </row>
    <row r="14" spans="1:13">
      <c r="A14" s="6" t="s">
        <v>66</v>
      </c>
      <c r="B14" s="30" t="s">
        <v>67</v>
      </c>
      <c r="C14" s="6" t="s">
        <v>69</v>
      </c>
      <c r="D14" s="6"/>
      <c r="E14" s="6"/>
      <c r="F14" s="6">
        <v>1</v>
      </c>
    </row>
    <row r="15" spans="1:13">
      <c r="A15" s="6" t="s">
        <v>70</v>
      </c>
      <c r="B15" s="30" t="s">
        <v>71</v>
      </c>
      <c r="C15" s="6" t="s">
        <v>74</v>
      </c>
      <c r="D15" s="6"/>
      <c r="E15" s="6"/>
      <c r="F15" s="6">
        <v>1</v>
      </c>
    </row>
    <row r="16" spans="1:13">
      <c r="A16" s="6" t="s">
        <v>75</v>
      </c>
      <c r="B16" s="30" t="s">
        <v>76</v>
      </c>
      <c r="C16" s="6" t="s">
        <v>78</v>
      </c>
      <c r="D16" s="6"/>
      <c r="E16" s="6"/>
      <c r="F16" s="6">
        <v>1</v>
      </c>
    </row>
    <row r="17" spans="1:6">
      <c r="A17" s="6" t="s">
        <v>79</v>
      </c>
      <c r="B17" s="30" t="s">
        <v>80</v>
      </c>
      <c r="C17" s="30"/>
      <c r="D17" s="6"/>
      <c r="E17" s="6"/>
      <c r="F17" s="6">
        <v>1</v>
      </c>
    </row>
    <row r="18" spans="1:6">
      <c r="A18" s="6" t="s">
        <v>81</v>
      </c>
      <c r="B18" s="30" t="s">
        <v>82</v>
      </c>
      <c r="C18" s="6" t="s">
        <v>86</v>
      </c>
      <c r="D18" s="6"/>
      <c r="E18" s="6"/>
      <c r="F18" s="6">
        <v>1</v>
      </c>
    </row>
    <row r="19" spans="1:6">
      <c r="A19" s="6" t="s">
        <v>87</v>
      </c>
      <c r="B19" s="48" t="s">
        <v>88</v>
      </c>
      <c r="C19" s="6" t="s">
        <v>91</v>
      </c>
      <c r="D19" s="49">
        <v>46211</v>
      </c>
      <c r="E19" s="6" t="s">
        <v>29</v>
      </c>
      <c r="F19" s="6">
        <v>1</v>
      </c>
    </row>
    <row r="20" spans="1:6">
      <c r="A20" s="6" t="s">
        <v>92</v>
      </c>
      <c r="B20" s="30" t="s">
        <v>93</v>
      </c>
      <c r="C20" s="30"/>
      <c r="D20" s="6"/>
      <c r="E20" s="6"/>
      <c r="F20" s="6">
        <v>1</v>
      </c>
    </row>
    <row r="21" spans="1:6">
      <c r="A21" s="6" t="s">
        <v>95</v>
      </c>
      <c r="B21" s="30" t="s">
        <v>96</v>
      </c>
      <c r="C21" s="30" t="s">
        <v>37</v>
      </c>
      <c r="D21" s="6"/>
      <c r="E21" s="6"/>
      <c r="F21" s="6">
        <v>1</v>
      </c>
    </row>
    <row r="22" spans="1:6">
      <c r="A22" s="6" t="s">
        <v>100</v>
      </c>
      <c r="B22" s="30" t="s">
        <v>101</v>
      </c>
      <c r="C22" s="6" t="s">
        <v>104</v>
      </c>
      <c r="D22" s="6"/>
      <c r="E22" s="6"/>
      <c r="F22" s="6">
        <v>1</v>
      </c>
    </row>
    <row r="23" spans="1:6">
      <c r="A23" s="6" t="s">
        <v>105</v>
      </c>
      <c r="B23" s="30" t="s">
        <v>106</v>
      </c>
      <c r="C23" s="6" t="s">
        <v>108</v>
      </c>
      <c r="D23" s="50">
        <v>46211</v>
      </c>
      <c r="E23" s="6" t="s">
        <v>29</v>
      </c>
      <c r="F23" s="6">
        <v>1</v>
      </c>
    </row>
    <row r="24" spans="1:6">
      <c r="A24" s="6" t="s">
        <v>109</v>
      </c>
      <c r="B24" s="30" t="s">
        <v>110</v>
      </c>
      <c r="C24" s="48" t="s">
        <v>114</v>
      </c>
      <c r="D24" s="49">
        <v>46217</v>
      </c>
      <c r="E24" s="6"/>
      <c r="F24" s="6">
        <v>1</v>
      </c>
    </row>
    <row r="25" spans="1:6">
      <c r="A25" s="6" t="s">
        <v>115</v>
      </c>
      <c r="B25" s="30" t="s">
        <v>116</v>
      </c>
      <c r="C25" s="48" t="s">
        <v>117</v>
      </c>
      <c r="D25" s="6"/>
      <c r="E25" s="6"/>
      <c r="F25" s="6">
        <v>1</v>
      </c>
    </row>
    <row r="26" spans="1:6">
      <c r="A26" s="6" t="s">
        <v>118</v>
      </c>
      <c r="B26" s="30" t="s">
        <v>119</v>
      </c>
      <c r="C26" s="48" t="s">
        <v>120</v>
      </c>
      <c r="D26" s="49">
        <v>46216</v>
      </c>
      <c r="E26" s="6" t="s">
        <v>29</v>
      </c>
      <c r="F26" s="6">
        <v>1</v>
      </c>
    </row>
    <row r="27" spans="1:6">
      <c r="A27" s="6" t="s">
        <v>121</v>
      </c>
      <c r="B27" s="30" t="s">
        <v>122</v>
      </c>
      <c r="C27" s="48" t="s">
        <v>123</v>
      </c>
      <c r="D27" s="49">
        <v>46216</v>
      </c>
      <c r="E27" s="6" t="s">
        <v>29</v>
      </c>
      <c r="F27" s="6">
        <v>1</v>
      </c>
    </row>
    <row r="28" spans="1:6">
      <c r="A28" s="6" t="s">
        <v>124</v>
      </c>
      <c r="B28" s="30" t="s">
        <v>125</v>
      </c>
      <c r="C28" s="48" t="s">
        <v>128</v>
      </c>
      <c r="D28" s="6"/>
      <c r="E28" s="6"/>
      <c r="F28" s="6">
        <v>1</v>
      </c>
    </row>
    <row r="29" spans="1:6">
      <c r="A29" s="6" t="s">
        <v>129</v>
      </c>
      <c r="B29" s="30" t="s">
        <v>130</v>
      </c>
      <c r="C29" s="48" t="s">
        <v>131</v>
      </c>
      <c r="D29" s="6"/>
      <c r="E29" s="6"/>
      <c r="F29" s="6">
        <v>1</v>
      </c>
    </row>
    <row r="30" spans="1:6">
      <c r="A30" s="6" t="s">
        <v>132</v>
      </c>
      <c r="B30" s="30" t="s">
        <v>133</v>
      </c>
      <c r="C30" s="48" t="s">
        <v>135</v>
      </c>
      <c r="D30" s="6"/>
      <c r="E30" s="6"/>
      <c r="F30" s="6">
        <v>1</v>
      </c>
    </row>
    <row r="31" spans="1:6">
      <c r="A31" s="6" t="s">
        <v>136</v>
      </c>
      <c r="B31" s="30" t="s">
        <v>137</v>
      </c>
      <c r="C31" s="48" t="s">
        <v>139</v>
      </c>
      <c r="D31" s="6"/>
      <c r="E31" s="6"/>
      <c r="F31" s="6">
        <v>1</v>
      </c>
    </row>
    <row r="32" spans="1:6">
      <c r="A32" s="6" t="s">
        <v>140</v>
      </c>
      <c r="B32" s="30" t="s">
        <v>141</v>
      </c>
      <c r="C32" s="48" t="s">
        <v>142</v>
      </c>
      <c r="D32" s="6"/>
      <c r="E32" s="6"/>
      <c r="F32" s="6">
        <v>1</v>
      </c>
    </row>
    <row r="33" spans="1:6">
      <c r="A33" s="6" t="s">
        <v>143</v>
      </c>
      <c r="B33" s="30" t="s">
        <v>144</v>
      </c>
      <c r="C33" s="48" t="s">
        <v>145</v>
      </c>
      <c r="D33" s="49">
        <v>46213</v>
      </c>
      <c r="E33" s="6" t="s">
        <v>29</v>
      </c>
      <c r="F33" s="6">
        <v>1</v>
      </c>
    </row>
    <row r="34" spans="1:6">
      <c r="A34" s="6" t="s">
        <v>146</v>
      </c>
      <c r="B34" s="55" t="s">
        <v>147</v>
      </c>
      <c r="C34" s="48" t="s">
        <v>148</v>
      </c>
      <c r="D34" s="6"/>
      <c r="E34" s="6"/>
      <c r="F34" s="6">
        <v>1</v>
      </c>
    </row>
    <row r="35" spans="1:6">
      <c r="A35" s="6" t="s">
        <v>149</v>
      </c>
      <c r="B35" s="30" t="s">
        <v>150</v>
      </c>
      <c r="C35" s="48" t="s">
        <v>152</v>
      </c>
      <c r="D35" s="6"/>
      <c r="E35" s="6"/>
      <c r="F35" s="6">
        <v>1</v>
      </c>
    </row>
    <row r="36" spans="1:6">
      <c r="A36" s="6" t="s">
        <v>153</v>
      </c>
      <c r="B36" s="30" t="s">
        <v>154</v>
      </c>
      <c r="C36" s="48" t="s">
        <v>155</v>
      </c>
      <c r="D36" s="6"/>
      <c r="E36" s="6"/>
      <c r="F36" s="6">
        <v>1</v>
      </c>
    </row>
    <row r="37" spans="1:6">
      <c r="A37" s="6" t="s">
        <v>156</v>
      </c>
      <c r="B37" s="30" t="s">
        <v>157</v>
      </c>
      <c r="C37" s="48" t="s">
        <v>158</v>
      </c>
      <c r="D37" s="6"/>
      <c r="E37" s="6"/>
      <c r="F37" s="6">
        <v>1</v>
      </c>
    </row>
    <row r="38" spans="1:6">
      <c r="A38" s="6" t="s">
        <v>159</v>
      </c>
      <c r="B38" s="30" t="s">
        <v>160</v>
      </c>
      <c r="C38" s="30" t="s">
        <v>161</v>
      </c>
      <c r="D38" s="50">
        <v>46213</v>
      </c>
      <c r="E38" s="6"/>
      <c r="F38" s="6">
        <v>1</v>
      </c>
    </row>
    <row r="39" spans="1:6">
      <c r="A39" s="6" t="s">
        <v>162</v>
      </c>
      <c r="B39" s="30" t="s">
        <v>163</v>
      </c>
      <c r="C39" s="6" t="s">
        <v>56</v>
      </c>
      <c r="D39" s="49">
        <v>46220</v>
      </c>
      <c r="E39" s="6"/>
      <c r="F39" s="6">
        <v>1</v>
      </c>
    </row>
    <row r="40" spans="1:6">
      <c r="A40" s="6" t="s">
        <v>164</v>
      </c>
      <c r="B40" s="30" t="s">
        <v>165</v>
      </c>
      <c r="C40" s="6" t="s">
        <v>166</v>
      </c>
      <c r="D40" s="6"/>
      <c r="E40" s="6"/>
      <c r="F40" s="6">
        <v>1</v>
      </c>
    </row>
    <row r="41" spans="1:6">
      <c r="A41" s="6" t="s">
        <v>167</v>
      </c>
      <c r="B41" s="30" t="s">
        <v>168</v>
      </c>
      <c r="C41" s="6" t="s">
        <v>169</v>
      </c>
      <c r="D41" s="6"/>
      <c r="E41" s="6"/>
      <c r="F41" s="6">
        <v>1</v>
      </c>
    </row>
    <row r="42" spans="1:6">
      <c r="A42" s="6" t="s">
        <v>170</v>
      </c>
      <c r="B42" s="30" t="s">
        <v>171</v>
      </c>
      <c r="C42" s="6" t="s">
        <v>172</v>
      </c>
      <c r="D42" s="6"/>
      <c r="E42" s="6"/>
      <c r="F42" s="6">
        <v>1</v>
      </c>
    </row>
    <row r="43" spans="1:6">
      <c r="A43" s="6" t="s">
        <v>173</v>
      </c>
      <c r="B43" s="30" t="s">
        <v>174</v>
      </c>
      <c r="C43" s="6" t="s">
        <v>175</v>
      </c>
      <c r="D43" s="6"/>
      <c r="E43" s="6"/>
      <c r="F43" s="6">
        <v>1</v>
      </c>
    </row>
    <row r="44" spans="1:6">
      <c r="A44" s="6" t="s">
        <v>176</v>
      </c>
      <c r="B44" s="30" t="s">
        <v>177</v>
      </c>
      <c r="C44" s="6" t="s">
        <v>180</v>
      </c>
      <c r="D44" s="6"/>
      <c r="E44" s="6"/>
      <c r="F44" s="6">
        <v>1</v>
      </c>
    </row>
    <row r="45" spans="1:6">
      <c r="A45" s="6" t="s">
        <v>181</v>
      </c>
      <c r="B45" s="30" t="s">
        <v>182</v>
      </c>
      <c r="C45" s="6" t="s">
        <v>183</v>
      </c>
      <c r="D45" s="6"/>
      <c r="E45" s="6"/>
      <c r="F45" s="6">
        <v>1</v>
      </c>
    </row>
    <row r="46" spans="1:6">
      <c r="A46" s="6" t="s">
        <v>184</v>
      </c>
      <c r="B46" s="30" t="s">
        <v>185</v>
      </c>
      <c r="C46" s="6" t="s">
        <v>186</v>
      </c>
      <c r="D46" s="6"/>
      <c r="E46" s="6"/>
      <c r="F46" s="6">
        <v>1</v>
      </c>
    </row>
    <row r="47" spans="1:6">
      <c r="A47" s="6" t="s">
        <v>187</v>
      </c>
      <c r="B47" s="30" t="s">
        <v>188</v>
      </c>
      <c r="C47" s="6" t="s">
        <v>189</v>
      </c>
      <c r="D47" s="6"/>
      <c r="E47" s="6"/>
      <c r="F47" s="6">
        <v>1</v>
      </c>
    </row>
    <row r="48" spans="1:6">
      <c r="A48" s="6" t="s">
        <v>190</v>
      </c>
      <c r="B48" s="30" t="s">
        <v>191</v>
      </c>
      <c r="C48" s="6" t="s">
        <v>194</v>
      </c>
      <c r="D48" s="6"/>
      <c r="E48" s="6"/>
      <c r="F48" s="6">
        <v>1</v>
      </c>
    </row>
    <row r="49" spans="1:6">
      <c r="A49" s="6" t="s">
        <v>195</v>
      </c>
      <c r="B49" s="30" t="s">
        <v>196</v>
      </c>
      <c r="C49" s="4" t="s">
        <v>197</v>
      </c>
      <c r="D49" s="6"/>
      <c r="E49" s="6"/>
      <c r="F49" s="6">
        <v>1</v>
      </c>
    </row>
    <row r="50" spans="1:6">
      <c r="A50" s="6" t="s">
        <v>198</v>
      </c>
      <c r="B50" s="30" t="s">
        <v>199</v>
      </c>
      <c r="C50" s="30"/>
      <c r="D50" s="6"/>
      <c r="E50" s="6"/>
      <c r="F50" s="6">
        <v>1</v>
      </c>
    </row>
    <row r="51" spans="1:6">
      <c r="A51" s="6" t="s">
        <v>202</v>
      </c>
      <c r="B51" s="30" t="s">
        <v>203</v>
      </c>
      <c r="C51" s="48" t="s">
        <v>206</v>
      </c>
      <c r="D51" s="6"/>
      <c r="E51" s="6"/>
      <c r="F51" s="6">
        <v>1</v>
      </c>
    </row>
    <row r="52" spans="1:6">
      <c r="A52" s="6" t="s">
        <v>207</v>
      </c>
      <c r="B52" s="30" t="s">
        <v>208</v>
      </c>
      <c r="C52" s="48" t="s">
        <v>209</v>
      </c>
      <c r="D52" s="6"/>
      <c r="E52" s="6"/>
      <c r="F52" s="6">
        <v>1</v>
      </c>
    </row>
    <row r="53" spans="1:6">
      <c r="A53" s="6" t="s">
        <v>210</v>
      </c>
      <c r="B53" s="30" t="s">
        <v>211</v>
      </c>
      <c r="C53" s="48" t="s">
        <v>212</v>
      </c>
      <c r="D53" s="6"/>
      <c r="E53" s="6"/>
      <c r="F53" s="6">
        <v>1</v>
      </c>
    </row>
    <row r="54" spans="1:6">
      <c r="A54" s="6" t="s">
        <v>213</v>
      </c>
      <c r="B54" s="30" t="s">
        <v>214</v>
      </c>
      <c r="C54" s="48" t="s">
        <v>215</v>
      </c>
      <c r="D54" s="6"/>
      <c r="E54" s="6"/>
      <c r="F54" s="6">
        <v>1</v>
      </c>
    </row>
    <row r="55" spans="1:6">
      <c r="A55" s="6" t="s">
        <v>216</v>
      </c>
      <c r="B55" s="30" t="s">
        <v>217</v>
      </c>
      <c r="C55" s="48" t="s">
        <v>58</v>
      </c>
      <c r="D55" s="6"/>
      <c r="E55" s="6"/>
      <c r="F55" s="6">
        <v>1</v>
      </c>
    </row>
    <row r="56" spans="1:6">
      <c r="A56" s="6" t="s">
        <v>218</v>
      </c>
      <c r="B56" s="30" t="s">
        <v>219</v>
      </c>
      <c r="C56" s="6" t="s">
        <v>135</v>
      </c>
      <c r="D56" s="6"/>
      <c r="E56" s="6"/>
      <c r="F56" s="6">
        <v>1</v>
      </c>
    </row>
    <row r="57" spans="1:6">
      <c r="A57" t="str">
        <f>IF(B57="","",_xlfn.XLOOKUP(B57,'All '!B:B,'All '!A:A,"No Found"))</f>
        <v/>
      </c>
      <c r="F57" t="str">
        <f>IF(B57="","",COUNTIF($B$2:B57,B57))</f>
        <v/>
      </c>
    </row>
    <row r="58" spans="1:6">
      <c r="A58" t="str">
        <f>IF(B58="","",_xlfn.XLOOKUP(B58,'All '!B:B,'All '!A:A,"No Found"))</f>
        <v/>
      </c>
      <c r="F58" t="str">
        <f>IF(B58="","",COUNTIF($B$2:B58,B58))</f>
        <v/>
      </c>
    </row>
    <row r="59" spans="1:6">
      <c r="A59" t="str">
        <f>IF(B59="","",_xlfn.XLOOKUP(B59,'All '!B:B,'All '!A:A,"No Found"))</f>
        <v/>
      </c>
      <c r="F59" t="str">
        <f>IF(B59="","",COUNTIF($B$2:B59,B59))</f>
        <v/>
      </c>
    </row>
    <row r="60" spans="1:6">
      <c r="A60" t="str">
        <f>IF(B60="","",_xlfn.XLOOKUP(B60,'All '!B:B,'All '!A:A,"No Found"))</f>
        <v/>
      </c>
      <c r="F60" t="str">
        <f>IF(B60="","",COUNTIF($B$2:B60,B60))</f>
        <v/>
      </c>
    </row>
    <row r="61" spans="1:6">
      <c r="A61" t="str">
        <f>IF(B61="","",_xlfn.XLOOKUP(B61,'All '!B:B,'All '!A:A,"No Found"))</f>
        <v/>
      </c>
      <c r="F61" t="str">
        <f>IF(B61="","",COUNTIF($B$2:B61,B61))</f>
        <v/>
      </c>
    </row>
    <row r="62" spans="1:6">
      <c r="A62" t="str">
        <f>IF(B62="","",_xlfn.XLOOKUP(B62,'All '!B:B,'All '!A:A,"No Found"))</f>
        <v/>
      </c>
      <c r="F62" t="str">
        <f>IF(B62="","",COUNTIF($B$2:B62,B62))</f>
        <v/>
      </c>
    </row>
    <row r="63" spans="1:6">
      <c r="A63" t="str">
        <f>IF(B63="","",_xlfn.XLOOKUP(B63,'All '!B:B,'All '!A:A,"No Found"))</f>
        <v/>
      </c>
      <c r="F63" t="str">
        <f>IF(B63="","",COUNTIF($B$2:B63,B63))</f>
        <v/>
      </c>
    </row>
    <row r="64" spans="1:6">
      <c r="A64" t="str">
        <f>IF(B64="","",_xlfn.XLOOKUP(B64,'All '!B:B,'All '!A:A,"No Found"))</f>
        <v/>
      </c>
      <c r="F64" t="str">
        <f>IF(B64="","",COUNTIF($B$2:B64,B64))</f>
        <v/>
      </c>
    </row>
    <row r="65" spans="1:6">
      <c r="A65" t="str">
        <f>IF(B65="","",_xlfn.XLOOKUP(B65,'All '!B:B,'All '!A:A,"No Found"))</f>
        <v/>
      </c>
      <c r="F65" t="str">
        <f>IF(B65="","",COUNTIF($B$2:B65,B65))</f>
        <v/>
      </c>
    </row>
    <row r="66" spans="1:6">
      <c r="A66" t="str">
        <f>IF(B66="","",_xlfn.XLOOKUP(B66,'All '!B:B,'All '!A:A,"No Found"))</f>
        <v/>
      </c>
      <c r="F66" t="str">
        <f>IF(B66="","",COUNTIF($B$2:B66,B66))</f>
        <v/>
      </c>
    </row>
    <row r="67" spans="1:6">
      <c r="A67" t="str">
        <f>IF(B67="","",_xlfn.XLOOKUP(B67,'All '!B:B,'All '!A:A,"No Found"))</f>
        <v/>
      </c>
      <c r="F67" t="str">
        <f>IF(B67="","",COUNTIF($B$2:B67,B67))</f>
        <v/>
      </c>
    </row>
    <row r="68" spans="1:6">
      <c r="A68" t="str">
        <f>IF(B68="","",_xlfn.XLOOKUP(B68,'All '!B:B,'All '!A:A,"No Found"))</f>
        <v/>
      </c>
      <c r="F68" t="str">
        <f>IF(B68="","",COUNTIF($B$2:B68,B68))</f>
        <v/>
      </c>
    </row>
    <row r="69" spans="1:6">
      <c r="A69" t="str">
        <f>IF(B69="","",_xlfn.XLOOKUP(B69,'All '!B:B,'All '!A:A,"No Found"))</f>
        <v/>
      </c>
      <c r="F69" t="str">
        <f>IF(B69="","",COUNTIF($B$2:B69,B69))</f>
        <v/>
      </c>
    </row>
    <row r="70" spans="1:6">
      <c r="A70" t="str">
        <f>IF(B70="","",_xlfn.XLOOKUP(B70,'All '!B:B,'All '!A:A,"No Found"))</f>
        <v/>
      </c>
      <c r="F70" t="str">
        <f>IF(B70="","",COUNTIF($B$2:B70,B70))</f>
        <v/>
      </c>
    </row>
    <row r="71" spans="1:6">
      <c r="A71" t="str">
        <f>IF(B71="","",_xlfn.XLOOKUP(B71,'All '!B:B,'All '!A:A,"No Found"))</f>
        <v/>
      </c>
      <c r="F71" t="str">
        <f>IF(B71="","",COUNTIF($B$2:B71,B71))</f>
        <v/>
      </c>
    </row>
    <row r="72" spans="1:6">
      <c r="A72" t="str">
        <f>IF(B72="","",_xlfn.XLOOKUP(B72,'All '!B:B,'All '!A:A,"No Found"))</f>
        <v/>
      </c>
      <c r="F72" t="str">
        <f>IF(B72="","",COUNTIF($B$2:B72,B72))</f>
        <v/>
      </c>
    </row>
    <row r="73" spans="1:6">
      <c r="A73" t="str">
        <f>IF(B73="","",_xlfn.XLOOKUP(B73,'All '!B:B,'All '!A:A,"No Found"))</f>
        <v/>
      </c>
      <c r="F73" t="str">
        <f>IF(B73="","",COUNTIF($B$2:B73,B73))</f>
        <v/>
      </c>
    </row>
    <row r="74" spans="1:6">
      <c r="A74" t="str">
        <f>IF(B74="","",_xlfn.XLOOKUP(B74,'All '!B:B,'All '!A:A,"No Found"))</f>
        <v/>
      </c>
      <c r="F74" t="str">
        <f>IF(B74="","",COUNTIF($B$2:B74,B74))</f>
        <v/>
      </c>
    </row>
    <row r="75" spans="1:6">
      <c r="A75" t="str">
        <f>IF(B75="","",_xlfn.XLOOKUP(B75,'All '!B:B,'All '!A:A,"No Found"))</f>
        <v/>
      </c>
      <c r="F75" t="str">
        <f>IF(B75="","",COUNTIF($B$2:B75,B75))</f>
        <v/>
      </c>
    </row>
    <row r="76" spans="1:6">
      <c r="A76" t="str">
        <f>IF(B76="","",_xlfn.XLOOKUP(B76,'All '!B:B,'All '!A:A,"No Found"))</f>
        <v/>
      </c>
      <c r="F76" t="str">
        <f>IF(B76="","",COUNTIF($B$2:B76,B76))</f>
        <v/>
      </c>
    </row>
    <row r="77" spans="1:6">
      <c r="A77" t="str">
        <f>IF(B77="","",_xlfn.XLOOKUP(B77,'All '!B:B,'All '!A:A,"No Found"))</f>
        <v/>
      </c>
      <c r="F77" t="str">
        <f>IF(B77="","",COUNTIF($B$2:B77,B77))</f>
        <v/>
      </c>
    </row>
    <row r="78" spans="1:6">
      <c r="A78" t="str">
        <f>IF(B78="","",_xlfn.XLOOKUP(B78,'All '!B:B,'All '!A:A,"No Found"))</f>
        <v/>
      </c>
      <c r="F78" t="str">
        <f>IF(B78="","",COUNTIF($B$2:B78,B78))</f>
        <v/>
      </c>
    </row>
    <row r="79" spans="1:6">
      <c r="A79" t="str">
        <f>IF(B79="","",_xlfn.XLOOKUP(B79,'All '!B:B,'All '!A:A,"No Found"))</f>
        <v/>
      </c>
      <c r="F79" t="str">
        <f>IF(B79="","",COUNTIF($B$2:B79,B79))</f>
        <v/>
      </c>
    </row>
    <row r="80" spans="1:6">
      <c r="A80" t="str">
        <f>IF(B80="","",_xlfn.XLOOKUP(B80,'All '!B:B,'All '!A:A,"No Found"))</f>
        <v/>
      </c>
      <c r="F80" t="str">
        <f>IF(B80="","",COUNTIF($B$2:B80,B80))</f>
        <v/>
      </c>
    </row>
    <row r="81" spans="1:6">
      <c r="A81" t="str">
        <f>IF(B81="","",_xlfn.XLOOKUP(B81,'All '!B:B,'All '!A:A,"No Found"))</f>
        <v/>
      </c>
      <c r="F81" t="str">
        <f>IF(B81="","",COUNTIF($B$2:B81,B81))</f>
        <v/>
      </c>
    </row>
    <row r="82" spans="1:6">
      <c r="A82" t="str">
        <f>IF(B82="","",_xlfn.XLOOKUP(B82,'All '!B:B,'All '!A:A,"No Found"))</f>
        <v/>
      </c>
      <c r="F82" t="str">
        <f>IF(B82="","",COUNTIF($B$2:B82,B82))</f>
        <v/>
      </c>
    </row>
    <row r="83" spans="1:6">
      <c r="A83" t="str">
        <f>IF(B83="","",_xlfn.XLOOKUP(B83,'All '!B:B,'All '!A:A,"No Found"))</f>
        <v/>
      </c>
      <c r="F83" t="str">
        <f>IF(B83="","",COUNTIF($B$2:B83,B83))</f>
        <v/>
      </c>
    </row>
    <row r="84" spans="1:6">
      <c r="A84" t="str">
        <f>IF(B84="","",_xlfn.XLOOKUP(B84,'All '!B:B,'All '!A:A,"No Found"))</f>
        <v/>
      </c>
      <c r="F84" t="str">
        <f>IF(B84="","",COUNTIF($B$2:B84,B84))</f>
        <v/>
      </c>
    </row>
    <row r="85" spans="1:6">
      <c r="A85" t="str">
        <f>IF(B85="","",_xlfn.XLOOKUP(B85,'All '!B:B,'All '!A:A,"No Found"))</f>
        <v/>
      </c>
      <c r="F85" t="str">
        <f>IF(B85="","",COUNTIF($B$2:B85,B85))</f>
        <v/>
      </c>
    </row>
    <row r="86" spans="1:6">
      <c r="A86" t="str">
        <f>IF(B86="","",_xlfn.XLOOKUP(B86,'All '!B:B,'All '!A:A,"No Found"))</f>
        <v/>
      </c>
      <c r="F86" t="str">
        <f>IF(B86="","",COUNTIF($B$2:B86,B86))</f>
        <v/>
      </c>
    </row>
    <row r="87" spans="1:6">
      <c r="A87" t="str">
        <f>IF(B87="","",_xlfn.XLOOKUP(B87,'All '!B:B,'All '!A:A,"No Found"))</f>
        <v/>
      </c>
      <c r="F87" t="str">
        <f>IF(B87="","",COUNTIF($B$2:B87,B87))</f>
        <v/>
      </c>
    </row>
    <row r="88" spans="1:6">
      <c r="A88" t="str">
        <f>IF(B88="","",_xlfn.XLOOKUP(B88,'All '!B:B,'All '!A:A,"No Found"))</f>
        <v/>
      </c>
      <c r="F88" t="str">
        <f>IF(B88="","",COUNTIF($B$2:B88,B88))</f>
        <v/>
      </c>
    </row>
    <row r="89" spans="1:6">
      <c r="A89" t="str">
        <f>IF(B89="","",_xlfn.XLOOKUP(B89,'All '!B:B,'All '!A:A,"No Found"))</f>
        <v/>
      </c>
      <c r="F89" t="str">
        <f>IF(B89="","",COUNTIF($B$2:B89,B89))</f>
        <v/>
      </c>
    </row>
    <row r="90" spans="1:6">
      <c r="A90" t="str">
        <f>IF(B90="","",_xlfn.XLOOKUP(B90,'All '!B:B,'All '!A:A,"No Found"))</f>
        <v/>
      </c>
      <c r="F90" t="str">
        <f>IF(B90="","",COUNTIF($B$2:B90,B90))</f>
        <v/>
      </c>
    </row>
    <row r="91" spans="1:6">
      <c r="A91" t="str">
        <f>IF(B91="","",_xlfn.XLOOKUP(B91,'All '!B:B,'All '!A:A,"No Found"))</f>
        <v/>
      </c>
      <c r="F91" t="str">
        <f>IF(B91="","",COUNTIF($B$2:B91,B91))</f>
        <v/>
      </c>
    </row>
    <row r="92" spans="1:6">
      <c r="A92" t="str">
        <f>IF(B92="","",_xlfn.XLOOKUP(B92,'All '!B:B,'All '!A:A,"No Found"))</f>
        <v/>
      </c>
      <c r="F92" t="str">
        <f>IF(B92="","",COUNTIF($B$2:B92,B92))</f>
        <v/>
      </c>
    </row>
    <row r="93" spans="1:6">
      <c r="A93" t="str">
        <f>IF(B93="","",_xlfn.XLOOKUP(B93,'All '!B:B,'All '!A:A,"No Found"))</f>
        <v/>
      </c>
      <c r="F93" t="str">
        <f>IF(B93="","",COUNTIF($B$2:B93,B93))</f>
        <v/>
      </c>
    </row>
    <row r="94" spans="1:6">
      <c r="A94" t="str">
        <f>IF(B94="","",_xlfn.XLOOKUP(B94,'All '!B:B,'All '!A:A,"No Found"))</f>
        <v/>
      </c>
      <c r="F94" t="str">
        <f>IF(B94="","",COUNTIF($B$2:B94,B94))</f>
        <v/>
      </c>
    </row>
    <row r="95" spans="1:6">
      <c r="A95" t="str">
        <f>IF(B95="","",_xlfn.XLOOKUP(B95,'All '!B:B,'All '!A:A,"No Found"))</f>
        <v/>
      </c>
      <c r="F95" t="str">
        <f>IF(B95="","",COUNTIF($B$2:B95,B95))</f>
        <v/>
      </c>
    </row>
    <row r="96" spans="1:6">
      <c r="A96" t="str">
        <f>IF(B96="","",_xlfn.XLOOKUP(B96,'All '!B:B,'All '!A:A,"No Found"))</f>
        <v/>
      </c>
      <c r="F96" t="str">
        <f>IF(B96="","",COUNTIF($B$2:B96,B96))</f>
        <v/>
      </c>
    </row>
    <row r="97" spans="1:6">
      <c r="A97" t="str">
        <f>IF(B97="","",_xlfn.XLOOKUP(B97,'All '!B:B,'All '!A:A,"No Found"))</f>
        <v/>
      </c>
      <c r="F97" t="str">
        <f>IF(B97="","",COUNTIF($B$2:B97,B97))</f>
        <v/>
      </c>
    </row>
    <row r="98" spans="1:6">
      <c r="A98" t="str">
        <f>IF(B98="","",_xlfn.XLOOKUP(B98,'All '!B:B,'All '!A:A,"No Found"))</f>
        <v/>
      </c>
      <c r="F98" t="str">
        <f>IF(B98="","",COUNTIF($B$2:B98,B98))</f>
        <v/>
      </c>
    </row>
    <row r="99" spans="1:6">
      <c r="A99" t="str">
        <f>IF(B99="","",_xlfn.XLOOKUP(B99,'All '!B:B,'All '!A:A,"No Found"))</f>
        <v/>
      </c>
      <c r="F99" t="str">
        <f>IF(B99="","",COUNTIF($B$2:B99,B99))</f>
        <v/>
      </c>
    </row>
    <row r="100" spans="1:6">
      <c r="A100" t="str">
        <f>IF(B100="","",_xlfn.XLOOKUP(B100,'All '!B:B,'All '!A:A,"No Found"))</f>
        <v/>
      </c>
      <c r="F100" t="str">
        <f>IF(B100="","",COUNTIF($B$2:B100,B100))</f>
        <v/>
      </c>
    </row>
    <row r="101" spans="1:6">
      <c r="A101" t="str">
        <f>IF(B101="","",_xlfn.XLOOKUP(B101,'All '!B:B,'All '!A:A,"No Found"))</f>
        <v/>
      </c>
      <c r="F101" t="str">
        <f>IF(B101="","",COUNTIF($B$2:B101,B101))</f>
        <v/>
      </c>
    </row>
    <row r="102" spans="1:6">
      <c r="A102" t="str">
        <f>IF(B102="","",_xlfn.XLOOKUP(B102,'All '!B:B,'All '!A:A,"No Found"))</f>
        <v/>
      </c>
      <c r="F102" t="str">
        <f>IF(B102="","",COUNTIF($B$2:B102,B102))</f>
        <v/>
      </c>
    </row>
    <row r="103" spans="1:6">
      <c r="A103" t="str">
        <f>IF(B103="","",_xlfn.XLOOKUP(B103,'All '!B:B,'All '!A:A,"No Found"))</f>
        <v/>
      </c>
      <c r="F103" t="str">
        <f>IF(B103="","",COUNTIF($B$2:B103,B103))</f>
        <v/>
      </c>
    </row>
    <row r="104" spans="1:6">
      <c r="A104" t="str">
        <f>IF(B104="","",_xlfn.XLOOKUP(B104,'All '!B:B,'All '!A:A,"No Found"))</f>
        <v/>
      </c>
      <c r="F104" t="str">
        <f>IF(B104="","",COUNTIF($B$2:B104,B104))</f>
        <v/>
      </c>
    </row>
    <row r="105" spans="1:6">
      <c r="A105" t="str">
        <f>IF(B105="","",_xlfn.XLOOKUP(B105,'All '!B:B,'All '!A:A,"No Found"))</f>
        <v/>
      </c>
      <c r="F105" t="str">
        <f>IF(B105="","",COUNTIF($B$2:B105,B105))</f>
        <v/>
      </c>
    </row>
    <row r="106" spans="1:6">
      <c r="A106" t="str">
        <f>IF(B106="","",_xlfn.XLOOKUP(B106,'All '!B:B,'All '!A:A,"No Found"))</f>
        <v/>
      </c>
      <c r="F106" t="str">
        <f>IF(B106="","",COUNTIF($B$2:B106,B106))</f>
        <v/>
      </c>
    </row>
    <row r="107" spans="1:6">
      <c r="A107" t="str">
        <f>IF(B107="","",_xlfn.XLOOKUP(B107,'All '!B:B,'All '!A:A,"No Found"))</f>
        <v/>
      </c>
      <c r="F107" t="str">
        <f>IF(B107="","",COUNTIF($B$2:B107,B107))</f>
        <v/>
      </c>
    </row>
    <row r="108" spans="1:6">
      <c r="A108" t="str">
        <f>IF(B108="","",_xlfn.XLOOKUP(B108,'All '!B:B,'All '!A:A,"No Found"))</f>
        <v/>
      </c>
      <c r="F108" t="str">
        <f>IF(B108="","",COUNTIF($B$2:B108,B108))</f>
        <v/>
      </c>
    </row>
    <row r="109" spans="1:6">
      <c r="A109" t="str">
        <f>IF(B109="","",_xlfn.XLOOKUP(B109,'All '!B:B,'All '!A:A,"No Found"))</f>
        <v/>
      </c>
      <c r="F109" t="str">
        <f>IF(B109="","",COUNTIF($B$2:B109,B109))</f>
        <v/>
      </c>
    </row>
    <row r="110" spans="1:6">
      <c r="A110" t="str">
        <f>IF(B110="","",_xlfn.XLOOKUP(B110,'All '!B:B,'All '!A:A,"No Found"))</f>
        <v/>
      </c>
      <c r="F110" t="str">
        <f>IF(B110="","",COUNTIF($B$2:B110,B110))</f>
        <v/>
      </c>
    </row>
    <row r="111" spans="1:6">
      <c r="A111" t="str">
        <f>IF(B111="","",_xlfn.XLOOKUP(B111,'All '!B:B,'All '!A:A,"No Found"))</f>
        <v/>
      </c>
      <c r="F111" t="str">
        <f>IF(B111="","",COUNTIF($B$2:B111,B111))</f>
        <v/>
      </c>
    </row>
    <row r="112" spans="1:6">
      <c r="A112" t="str">
        <f>IF(B112="","",_xlfn.XLOOKUP(B112,'All '!B:B,'All '!A:A,"No Found"))</f>
        <v/>
      </c>
      <c r="F112" t="str">
        <f>IF(B112="","",COUNTIF($B$2:B112,B112))</f>
        <v/>
      </c>
    </row>
    <row r="113" spans="1:6">
      <c r="A113" t="str">
        <f>IF(B113="","",_xlfn.XLOOKUP(B113,'All '!B:B,'All '!A:A,"No Found"))</f>
        <v/>
      </c>
      <c r="F113" t="str">
        <f>IF(B113="","",COUNTIF($B$2:B113,B113))</f>
        <v/>
      </c>
    </row>
    <row r="114" spans="1:6">
      <c r="A114" t="str">
        <f>IF(B114="","",_xlfn.XLOOKUP(B114,'All '!B:B,'All '!A:A,"No Found"))</f>
        <v/>
      </c>
      <c r="F114" t="str">
        <f>IF(B114="","",COUNTIF($B$2:B114,B114))</f>
        <v/>
      </c>
    </row>
    <row r="115" spans="1:6">
      <c r="A115" t="str">
        <f>IF(B115="","",_xlfn.XLOOKUP(B115,'All '!B:B,'All '!A:A,"No Found"))</f>
        <v/>
      </c>
      <c r="F115" t="str">
        <f>IF(B115="","",COUNTIF($B$2:B115,B115))</f>
        <v/>
      </c>
    </row>
    <row r="116" spans="1:6">
      <c r="A116" t="str">
        <f>IF(B116="","",_xlfn.XLOOKUP(B116,'All '!B:B,'All '!A:A,"No Found"))</f>
        <v/>
      </c>
      <c r="F116" t="str">
        <f>IF(B116="","",COUNTIF($B$2:B116,B116))</f>
        <v/>
      </c>
    </row>
    <row r="117" spans="1:6">
      <c r="A117" t="str">
        <f>IF(B117="","",_xlfn.XLOOKUP(B117,'All '!B:B,'All '!A:A,"No Found"))</f>
        <v/>
      </c>
      <c r="F117" t="str">
        <f>IF(B117="","",COUNTIF($B$2:B117,B117))</f>
        <v/>
      </c>
    </row>
    <row r="118" spans="1:6">
      <c r="A118" t="str">
        <f>IF(B118="","",_xlfn.XLOOKUP(B118,'All '!B:B,'All '!A:A,"No Found"))</f>
        <v/>
      </c>
      <c r="F118" t="str">
        <f>IF(B118="","",COUNTIF($B$2:B118,B118))</f>
        <v/>
      </c>
    </row>
    <row r="119" spans="1:6">
      <c r="A119" t="str">
        <f>IF(B119="","",_xlfn.XLOOKUP(B119,'All '!B:B,'All '!A:A,"No Found"))</f>
        <v/>
      </c>
      <c r="F119" t="str">
        <f>IF(B119="","",COUNTIF($B$2:B119,B119))</f>
        <v/>
      </c>
    </row>
    <row r="120" spans="1:6">
      <c r="A120" t="str">
        <f>IF(B120="","",_xlfn.XLOOKUP(B120,'All '!B:B,'All '!A:A,"No Found"))</f>
        <v/>
      </c>
      <c r="F120" t="str">
        <f>IF(B120="","",COUNTIF($B$2:B120,B120))</f>
        <v/>
      </c>
    </row>
    <row r="121" spans="1:6">
      <c r="A121" t="str">
        <f>IF(B121="","",_xlfn.XLOOKUP(B121,'All '!B:B,'All '!A:A,"No Found"))</f>
        <v/>
      </c>
      <c r="F121" t="str">
        <f>IF(B121="","",COUNTIF($B$2:B121,B121))</f>
        <v/>
      </c>
    </row>
    <row r="122" spans="1:6">
      <c r="A122" t="str">
        <f>IF(B122="","",_xlfn.XLOOKUP(B122,'All '!B:B,'All '!A:A,"No Found"))</f>
        <v/>
      </c>
      <c r="F122" t="str">
        <f>IF(B122="","",COUNTIF($B$2:B122,B122))</f>
        <v/>
      </c>
    </row>
    <row r="123" spans="1:6">
      <c r="A123" t="str">
        <f>IF(B123="","",_xlfn.XLOOKUP(B123,'All '!B:B,'All '!A:A,"No Found"))</f>
        <v/>
      </c>
      <c r="F123" t="str">
        <f>IF(B123="","",COUNTIF($B$2:B123,B123))</f>
        <v/>
      </c>
    </row>
    <row r="124" spans="1:6">
      <c r="A124" t="str">
        <f>IF(B124="","",_xlfn.XLOOKUP(B124,'All '!B:B,'All '!A:A,"No Found"))</f>
        <v/>
      </c>
      <c r="F124" t="str">
        <f>IF(B124="","",COUNTIF($B$2:B124,B124))</f>
        <v/>
      </c>
    </row>
    <row r="125" spans="1:6">
      <c r="A125" t="str">
        <f>IF(B125="","",_xlfn.XLOOKUP(B125,'All '!B:B,'All '!A:A,"No Found"))</f>
        <v/>
      </c>
      <c r="F125" t="str">
        <f>IF(B125="","",COUNTIF($B$2:B125,B125))</f>
        <v/>
      </c>
    </row>
    <row r="126" spans="1:6">
      <c r="A126" t="str">
        <f>IF(B126="","",_xlfn.XLOOKUP(B126,'All '!B:B,'All '!A:A,"No Found"))</f>
        <v/>
      </c>
      <c r="F126" t="str">
        <f>IF(B126="","",COUNTIF($B$2:B126,B126))</f>
        <v/>
      </c>
    </row>
    <row r="127" spans="1:6">
      <c r="A127" t="str">
        <f>IF(B127="","",_xlfn.XLOOKUP(B127,'All '!B:B,'All '!A:A,"No Found"))</f>
        <v/>
      </c>
      <c r="F127" t="str">
        <f>IF(B127="","",COUNTIF($B$2:B127,B127))</f>
        <v/>
      </c>
    </row>
    <row r="128" spans="1:6">
      <c r="A128" t="str">
        <f>IF(B128="","",_xlfn.XLOOKUP(B128,'All '!B:B,'All '!A:A,"No Found"))</f>
        <v/>
      </c>
      <c r="F128" t="str">
        <f>IF(B128="","",COUNTIF($B$2:B128,B128))</f>
        <v/>
      </c>
    </row>
    <row r="129" spans="1:6">
      <c r="A129" t="str">
        <f>IF(B129="","",_xlfn.XLOOKUP(B129,'All '!B:B,'All '!A:A,"No Found"))</f>
        <v/>
      </c>
      <c r="F129" t="str">
        <f>IF(B129="","",COUNTIF($B$2:B129,B129))</f>
        <v/>
      </c>
    </row>
    <row r="130" spans="1:6">
      <c r="A130" t="str">
        <f>IF(B130="","",_xlfn.XLOOKUP(B130,'All '!B:B,'All '!A:A,"No Found"))</f>
        <v/>
      </c>
      <c r="F130" t="str">
        <f>IF(B130="","",COUNTIF($B$2:B130,B130))</f>
        <v/>
      </c>
    </row>
    <row r="131" spans="1:6">
      <c r="A131" t="str">
        <f>IF(B131="","",_xlfn.XLOOKUP(B131,'All '!B:B,'All '!A:A,"No Found"))</f>
        <v/>
      </c>
      <c r="F131" t="str">
        <f>IF(B131="","",COUNTIF($B$2:B131,B131))</f>
        <v/>
      </c>
    </row>
    <row r="132" spans="1:6">
      <c r="A132" t="str">
        <f>IF(B132="","",_xlfn.XLOOKUP(B132,'All '!B:B,'All '!A:A,"No Found"))</f>
        <v/>
      </c>
      <c r="F132" t="str">
        <f>IF(B132="","",COUNTIF($B$2:B132,B132))</f>
        <v/>
      </c>
    </row>
    <row r="133" spans="1:6">
      <c r="A133" t="str">
        <f>IF(B133="","",_xlfn.XLOOKUP(B133,'All '!B:B,'All '!A:A,"No Found"))</f>
        <v/>
      </c>
      <c r="F133" t="str">
        <f>IF(B133="","",COUNTIF($B$2:B133,B133))</f>
        <v/>
      </c>
    </row>
    <row r="134" spans="1:6">
      <c r="A134" t="str">
        <f>IF(B134="","",_xlfn.XLOOKUP(B134,'All '!B:B,'All '!A:A,"No Found"))</f>
        <v/>
      </c>
      <c r="F134" t="str">
        <f>IF(B134="","",COUNTIF($B$2:B134,B134))</f>
        <v/>
      </c>
    </row>
    <row r="135" spans="1:6">
      <c r="A135" t="str">
        <f>IF(B135="","",_xlfn.XLOOKUP(B135,'All '!B:B,'All '!A:A,"No Found"))</f>
        <v/>
      </c>
      <c r="F135" t="str">
        <f>IF(B135="","",COUNTIF($B$2:B135,B135))</f>
        <v/>
      </c>
    </row>
    <row r="136" spans="1:6">
      <c r="A136" t="str">
        <f>IF(B136="","",_xlfn.XLOOKUP(B136,'All '!B:B,'All '!A:A,"No Found"))</f>
        <v/>
      </c>
      <c r="F136" t="str">
        <f>IF(B136="","",COUNTIF($B$2:B136,B136))</f>
        <v/>
      </c>
    </row>
    <row r="137" spans="1:6">
      <c r="A137" t="str">
        <f>IF(B137="","",_xlfn.XLOOKUP(B137,'All '!B:B,'All '!A:A,"No Found"))</f>
        <v/>
      </c>
      <c r="F137" t="str">
        <f>IF(B137="","",COUNTIF($B$2:B137,B137))</f>
        <v/>
      </c>
    </row>
    <row r="138" spans="1:6">
      <c r="A138" t="str">
        <f>IF(B138="","",_xlfn.XLOOKUP(B138,'All '!B:B,'All '!A:A,"No Found"))</f>
        <v/>
      </c>
      <c r="F138" t="str">
        <f>IF(B138="","",COUNTIF($B$2:B138,B138))</f>
        <v/>
      </c>
    </row>
    <row r="139" spans="1:6">
      <c r="A139" t="str">
        <f>IF(B139="","",_xlfn.XLOOKUP(B139,'All '!B:B,'All '!A:A,"No Found"))</f>
        <v/>
      </c>
      <c r="F139" t="str">
        <f>IF(B139="","",COUNTIF($B$2:B139,B139))</f>
        <v/>
      </c>
    </row>
    <row r="140" spans="1:6">
      <c r="A140" t="str">
        <f>IF(B140="","",_xlfn.XLOOKUP(B140,'All '!B:B,'All '!A:A,"No Found"))</f>
        <v/>
      </c>
      <c r="F140" t="str">
        <f>IF(B140="","",COUNTIF($B$2:B140,B140))</f>
        <v/>
      </c>
    </row>
    <row r="141" spans="1:6">
      <c r="A141" t="str">
        <f>IF(B141="","",_xlfn.XLOOKUP(B141,'All '!B:B,'All '!A:A,"No Found"))</f>
        <v/>
      </c>
      <c r="F141" t="str">
        <f>IF(B141="","",COUNTIF($B$2:B141,B141))</f>
        <v/>
      </c>
    </row>
    <row r="142" spans="1:6">
      <c r="A142" t="str">
        <f>IF(B142="","",_xlfn.XLOOKUP(B142,'All '!B:B,'All '!A:A,"No Found"))</f>
        <v/>
      </c>
      <c r="F142" t="str">
        <f>IF(B142="","",COUNTIF($B$2:B142,B142))</f>
        <v/>
      </c>
    </row>
    <row r="143" spans="1:6">
      <c r="A143" t="str">
        <f>IF(B143="","",_xlfn.XLOOKUP(B143,'All '!B:B,'All '!A:A,"No Found"))</f>
        <v/>
      </c>
      <c r="F143" t="str">
        <f>IF(B143="","",COUNTIF($B$2:B143,B143))</f>
        <v/>
      </c>
    </row>
    <row r="144" spans="1:6">
      <c r="A144" t="str">
        <f>IF(B144="","",_xlfn.XLOOKUP(B144,'All '!B:B,'All '!A:A,"No Found"))</f>
        <v/>
      </c>
      <c r="F144" t="str">
        <f>IF(B144="","",COUNTIF($B$2:B144,B144))</f>
        <v/>
      </c>
    </row>
    <row r="145" spans="1:6">
      <c r="A145" t="str">
        <f>IF(B145="","",_xlfn.XLOOKUP(B145,'All '!B:B,'All '!A:A,"No Found"))</f>
        <v/>
      </c>
      <c r="F145" t="str">
        <f>IF(B145="","",COUNTIF($B$2:B145,B145))</f>
        <v/>
      </c>
    </row>
    <row r="146" spans="1:6">
      <c r="A146" t="str">
        <f>IF(B146="","",_xlfn.XLOOKUP(B146,'All '!B:B,'All '!A:A,"No Found"))</f>
        <v/>
      </c>
      <c r="F146" t="str">
        <f>IF(B146="","",COUNTIF($B$2:B146,B146))</f>
        <v/>
      </c>
    </row>
    <row r="147" spans="1:6">
      <c r="A147" t="str">
        <f>IF(B147="","",_xlfn.XLOOKUP(B147,'All '!B:B,'All '!A:A,"No Found"))</f>
        <v/>
      </c>
      <c r="F147" t="str">
        <f>IF(B147="","",COUNTIF($B$2:B147,B147))</f>
        <v/>
      </c>
    </row>
    <row r="148" spans="1:6">
      <c r="A148" t="str">
        <f>IF(B148="","",_xlfn.XLOOKUP(B148,'All '!B:B,'All '!A:A,"No Found"))</f>
        <v/>
      </c>
      <c r="F148" t="str">
        <f>IF(B148="","",COUNTIF($B$2:B148,B148))</f>
        <v/>
      </c>
    </row>
    <row r="149" spans="1:6">
      <c r="A149" t="str">
        <f>IF(B149="","",_xlfn.XLOOKUP(B149,'All '!B:B,'All '!A:A,"No Found"))</f>
        <v/>
      </c>
      <c r="F149" t="str">
        <f>IF(B149="","",COUNTIF($B$2:B149,B149))</f>
        <v/>
      </c>
    </row>
    <row r="150" spans="1:6">
      <c r="A150" t="str">
        <f>IF(B150="","",_xlfn.XLOOKUP(B150,'All '!B:B,'All '!A:A,"No Found"))</f>
        <v/>
      </c>
      <c r="F150" t="str">
        <f>IF(B150="","",COUNTIF($B$2:B150,B150))</f>
        <v/>
      </c>
    </row>
    <row r="151" spans="1:6">
      <c r="A151" t="str">
        <f>IF(B151="","",_xlfn.XLOOKUP(B151,'All '!B:B,'All '!A:A,"No Found"))</f>
        <v/>
      </c>
      <c r="F151" t="str">
        <f>IF(B151="","",COUNTIF($B$2:B151,B151))</f>
        <v/>
      </c>
    </row>
    <row r="152" spans="1:6">
      <c r="A152" t="str">
        <f>IF(B152="","",_xlfn.XLOOKUP(B152,'All '!B:B,'All '!A:A,"No Found"))</f>
        <v/>
      </c>
      <c r="F152" t="str">
        <f>IF(B152="","",COUNTIF($B$2:B152,B152))</f>
        <v/>
      </c>
    </row>
    <row r="153" spans="1:6">
      <c r="A153" t="str">
        <f>IF(B153="","",_xlfn.XLOOKUP(B153,'All '!B:B,'All '!A:A,"No Found"))</f>
        <v/>
      </c>
      <c r="F153" t="str">
        <f>IF(B153="","",COUNTIF($B$2:B153,B153))</f>
        <v/>
      </c>
    </row>
    <row r="154" spans="1:6">
      <c r="A154" t="str">
        <f>IF(B154="","",_xlfn.XLOOKUP(B154,'All '!B:B,'All '!A:A,"No Found"))</f>
        <v/>
      </c>
      <c r="F154" t="str">
        <f>IF(B154="","",COUNTIF($B$2:B154,B154))</f>
        <v/>
      </c>
    </row>
    <row r="155" spans="1:6">
      <c r="A155" t="str">
        <f>IF(B155="","",_xlfn.XLOOKUP(B155,'All '!B:B,'All '!A:A,"No Found"))</f>
        <v/>
      </c>
      <c r="F155" t="str">
        <f>IF(B155="","",COUNTIF($B$2:B155,B155))</f>
        <v/>
      </c>
    </row>
    <row r="156" spans="1:6">
      <c r="A156" t="str">
        <f>IF(B156="","",_xlfn.XLOOKUP(B156,'All '!B:B,'All '!A:A,"No Found"))</f>
        <v/>
      </c>
      <c r="F156" t="str">
        <f>IF(B156="","",COUNTIF($B$2:B156,B156))</f>
        <v/>
      </c>
    </row>
    <row r="157" spans="1:6">
      <c r="A157" t="str">
        <f>IF(B157="","",_xlfn.XLOOKUP(B157,'All '!B:B,'All '!A:A,"No Found"))</f>
        <v/>
      </c>
      <c r="F157" t="str">
        <f>IF(B157="","",COUNTIF($B$2:B157,B157))</f>
        <v/>
      </c>
    </row>
    <row r="158" spans="1:6">
      <c r="A158" t="str">
        <f>IF(B158="","",_xlfn.XLOOKUP(B158,'All '!B:B,'All '!A:A,"No Found"))</f>
        <v/>
      </c>
      <c r="F158" t="str">
        <f>IF(B158="","",COUNTIF($B$2:B158,B158))</f>
        <v/>
      </c>
    </row>
    <row r="159" spans="1:6">
      <c r="A159" t="str">
        <f>IF(B159="","",_xlfn.XLOOKUP(B159,'All '!B:B,'All '!A:A,"No Found"))</f>
        <v/>
      </c>
      <c r="F159" t="str">
        <f>IF(B159="","",COUNTIF($B$2:B159,B159))</f>
        <v/>
      </c>
    </row>
    <row r="160" spans="1:6">
      <c r="A160" t="str">
        <f>IF(B160="","",_xlfn.XLOOKUP(B160,'All '!B:B,'All '!A:A,"No Found"))</f>
        <v/>
      </c>
      <c r="F160" t="str">
        <f>IF(B160="","",COUNTIF($B$2:B160,B160))</f>
        <v/>
      </c>
    </row>
    <row r="161" spans="1:6">
      <c r="A161" t="str">
        <f>IF(B161="","",_xlfn.XLOOKUP(B161,'All '!B:B,'All '!A:A,"No Found"))</f>
        <v/>
      </c>
      <c r="F161" t="str">
        <f>IF(B161="","",COUNTIF($B$2:B161,B161))</f>
        <v/>
      </c>
    </row>
    <row r="162" spans="1:6">
      <c r="A162" t="str">
        <f>IF(B162="","",_xlfn.XLOOKUP(B162,'All '!B:B,'All '!A:A,"No Found"))</f>
        <v/>
      </c>
      <c r="F162" t="str">
        <f>IF(B162="","",COUNTIF($B$2:B162,B162))</f>
        <v/>
      </c>
    </row>
    <row r="163" spans="1:6">
      <c r="A163" t="str">
        <f>IF(B163="","",_xlfn.XLOOKUP(B163,'All '!B:B,'All '!A:A,"No Found"))</f>
        <v/>
      </c>
      <c r="F163" t="str">
        <f>IF(B163="","",COUNTIF($B$2:B163,B163))</f>
        <v/>
      </c>
    </row>
    <row r="164" spans="1:6">
      <c r="A164" t="str">
        <f>IF(B164="","",_xlfn.XLOOKUP(B164,'All '!B:B,'All '!A:A,"No Found"))</f>
        <v/>
      </c>
      <c r="F164" t="str">
        <f>IF(B164="","",COUNTIF($B$2:B164,B164))</f>
        <v/>
      </c>
    </row>
    <row r="165" spans="1:6">
      <c r="A165" t="str">
        <f>IF(B165="","",_xlfn.XLOOKUP(B165,'All '!B:B,'All '!A:A,"No Found"))</f>
        <v/>
      </c>
      <c r="F165" t="str">
        <f>IF(B165="","",COUNTIF($B$2:B165,B165))</f>
        <v/>
      </c>
    </row>
    <row r="166" spans="1:6">
      <c r="A166" t="str">
        <f>IF(B166="","",_xlfn.XLOOKUP(B166,'All '!B:B,'All '!A:A,"No Found"))</f>
        <v/>
      </c>
      <c r="F166" t="str">
        <f>IF(B166="","",COUNTIF($B$2:B166,B166))</f>
        <v/>
      </c>
    </row>
    <row r="167" spans="1:6">
      <c r="A167" t="str">
        <f>IF(B167="","",_xlfn.XLOOKUP(B167,'All '!B:B,'All '!A:A,"No Found"))</f>
        <v/>
      </c>
      <c r="F167" t="str">
        <f>IF(B167="","",COUNTIF($B$2:B167,B167))</f>
        <v/>
      </c>
    </row>
    <row r="168" spans="1:6">
      <c r="A168" t="str">
        <f>IF(B168="","",_xlfn.XLOOKUP(B168,'All '!B:B,'All '!A:A,"No Found"))</f>
        <v/>
      </c>
      <c r="F168" t="str">
        <f>IF(B168="","",COUNTIF($B$2:B168,B168))</f>
        <v/>
      </c>
    </row>
    <row r="169" spans="1:6">
      <c r="A169" t="str">
        <f>IF(B169="","",_xlfn.XLOOKUP(B169,'All '!B:B,'All '!A:A,"No Found"))</f>
        <v/>
      </c>
      <c r="F169" t="str">
        <f>IF(B169="","",COUNTIF($B$2:B169,B169))</f>
        <v/>
      </c>
    </row>
    <row r="170" spans="1:6">
      <c r="A170" t="str">
        <f>IF(B170="","",_xlfn.XLOOKUP(B170,'All '!B:B,'All '!A:A,"No Found"))</f>
        <v/>
      </c>
      <c r="F170" t="str">
        <f>IF(B170="","",COUNTIF($B$2:B170,B170))</f>
        <v/>
      </c>
    </row>
    <row r="171" spans="1:6">
      <c r="A171" t="str">
        <f>IF(B171="","",_xlfn.XLOOKUP(B171,'All '!B:B,'All '!A:A,"No Found"))</f>
        <v/>
      </c>
      <c r="F171" t="str">
        <f>IF(B171="","",COUNTIF($B$2:B171,B171))</f>
        <v/>
      </c>
    </row>
    <row r="172" spans="1:6">
      <c r="A172" t="str">
        <f>IF(B172="","",_xlfn.XLOOKUP(B172,'All '!B:B,'All '!A:A,"No Found"))</f>
        <v/>
      </c>
      <c r="F172" t="str">
        <f>IF(B172="","",COUNTIF($B$2:B172,B172))</f>
        <v/>
      </c>
    </row>
    <row r="173" spans="1:6">
      <c r="A173" t="str">
        <f>IF(B173="","",_xlfn.XLOOKUP(B173,'All '!B:B,'All '!A:A,"No Found"))</f>
        <v/>
      </c>
      <c r="F173" t="str">
        <f>IF(B173="","",COUNTIF($B$2:B173,B173))</f>
        <v/>
      </c>
    </row>
    <row r="174" spans="1:6">
      <c r="A174" t="str">
        <f>IF(B174="","",_xlfn.XLOOKUP(B174,'All '!B:B,'All '!A:A,"No Found"))</f>
        <v/>
      </c>
      <c r="F174" t="str">
        <f>IF(B174="","",COUNTIF($B$2:B174,B174))</f>
        <v/>
      </c>
    </row>
    <row r="175" spans="1:6">
      <c r="A175" t="str">
        <f>IF(B175="","",_xlfn.XLOOKUP(B175,'All '!B:B,'All '!A:A,"No Found"))</f>
        <v/>
      </c>
      <c r="F175" t="str">
        <f>IF(B175="","",COUNTIF($B$2:B175,B175))</f>
        <v/>
      </c>
    </row>
    <row r="176" spans="1:6">
      <c r="A176" t="str">
        <f>IF(B176="","",_xlfn.XLOOKUP(B176,'All '!B:B,'All '!A:A,"No Found"))</f>
        <v/>
      </c>
      <c r="F176" t="str">
        <f>IF(B176="","",COUNTIF($B$2:B176,B176))</f>
        <v/>
      </c>
    </row>
    <row r="177" spans="1:6">
      <c r="A177" t="str">
        <f>IF(B177="","",_xlfn.XLOOKUP(B177,'All '!B:B,'All '!A:A,"No Found"))</f>
        <v/>
      </c>
      <c r="F177" t="str">
        <f>IF(B177="","",COUNTIF($B$2:B177,B177))</f>
        <v/>
      </c>
    </row>
    <row r="178" spans="1:6">
      <c r="A178" t="str">
        <f>IF(B178="","",_xlfn.XLOOKUP(B178,'All '!B:B,'All '!A:A,"No Found"))</f>
        <v/>
      </c>
      <c r="F178" t="str">
        <f>IF(B178="","",COUNTIF($B$2:B178,B178))</f>
        <v/>
      </c>
    </row>
    <row r="179" spans="1:6">
      <c r="A179" t="str">
        <f>IF(B179="","",_xlfn.XLOOKUP(B179,'All '!B:B,'All '!A:A,"No Found"))</f>
        <v/>
      </c>
      <c r="F179" t="str">
        <f>IF(B179="","",COUNTIF($B$2:B179,B179))</f>
        <v/>
      </c>
    </row>
    <row r="180" spans="1:6">
      <c r="A180" t="str">
        <f>IF(B180="","",_xlfn.XLOOKUP(B180,'All '!B:B,'All '!A:A,"No Found"))</f>
        <v/>
      </c>
      <c r="F180" t="str">
        <f>IF(B180="","",COUNTIF($B$2:B180,B180))</f>
        <v/>
      </c>
    </row>
    <row r="181" spans="1:6">
      <c r="A181" t="str">
        <f>IF(B181="","",_xlfn.XLOOKUP(B181,'All '!B:B,'All '!A:A,"No Found"))</f>
        <v/>
      </c>
      <c r="F181" t="str">
        <f>IF(B181="","",COUNTIF($B$2:B181,B181))</f>
        <v/>
      </c>
    </row>
    <row r="182" spans="1:6">
      <c r="A182" t="str">
        <f>IF(B182="","",_xlfn.XLOOKUP(B182,'All '!B:B,'All '!A:A,"No Found"))</f>
        <v/>
      </c>
      <c r="F182" t="str">
        <f>IF(B182="","",COUNTIF($B$2:B182,B182))</f>
        <v/>
      </c>
    </row>
    <row r="183" spans="1:6">
      <c r="A183" t="str">
        <f>IF(B183="","",_xlfn.XLOOKUP(B183,'All '!B:B,'All '!A:A,"No Found"))</f>
        <v/>
      </c>
      <c r="F183" t="str">
        <f>IF(B183="","",COUNTIF($B$2:B183,B183))</f>
        <v/>
      </c>
    </row>
    <row r="184" spans="1:6">
      <c r="A184" t="str">
        <f>IF(B184="","",_xlfn.XLOOKUP(B184,'All '!B:B,'All '!A:A,"No Found"))</f>
        <v/>
      </c>
      <c r="F184" t="str">
        <f>IF(B184="","",COUNTIF($B$2:B184,B184))</f>
        <v/>
      </c>
    </row>
    <row r="185" spans="1:6">
      <c r="A185" t="str">
        <f>IF(B185="","",_xlfn.XLOOKUP(B185,'All '!B:B,'All '!A:A,"No Found"))</f>
        <v/>
      </c>
      <c r="F185" t="str">
        <f>IF(B185="","",COUNTIF($B$2:B185,B185))</f>
        <v/>
      </c>
    </row>
    <row r="186" spans="1:6">
      <c r="A186" t="str">
        <f>IF(B186="","",_xlfn.XLOOKUP(B186,'All '!B:B,'All '!A:A,"No Found"))</f>
        <v/>
      </c>
      <c r="F186" t="str">
        <f>IF(B186="","",COUNTIF($B$2:B186,B186))</f>
        <v/>
      </c>
    </row>
    <row r="187" spans="1:6">
      <c r="A187" t="str">
        <f>IF(B187="","",_xlfn.XLOOKUP(B187,'All '!B:B,'All '!A:A,"No Found"))</f>
        <v/>
      </c>
      <c r="F187" t="str">
        <f>IF(B187="","",COUNTIF($B$2:B187,B187))</f>
        <v/>
      </c>
    </row>
    <row r="188" spans="1:6">
      <c r="A188" t="str">
        <f>IF(B188="","",_xlfn.XLOOKUP(B188,'All '!B:B,'All '!A:A,"No Found"))</f>
        <v/>
      </c>
      <c r="F188" t="str">
        <f>IF(B188="","",COUNTIF($B$2:B188,B188))</f>
        <v/>
      </c>
    </row>
    <row r="189" spans="1:6">
      <c r="A189" t="str">
        <f>IF(B189="","",_xlfn.XLOOKUP(B189,'All '!B:B,'All '!A:A,"No Found"))</f>
        <v/>
      </c>
      <c r="F189" t="str">
        <f>IF(B189="","",COUNTIF($B$2:B189,B189))</f>
        <v/>
      </c>
    </row>
    <row r="190" spans="1:6">
      <c r="A190" t="str">
        <f>IF(B190="","",_xlfn.XLOOKUP(B190,'All '!B:B,'All '!A:A,"No Found"))</f>
        <v/>
      </c>
      <c r="F190" t="str">
        <f>IF(B190="","",COUNTIF($B$2:B190,B190))</f>
        <v/>
      </c>
    </row>
    <row r="191" spans="1:6">
      <c r="A191" t="str">
        <f>IF(B191="","",_xlfn.XLOOKUP(B191,'All '!B:B,'All '!A:A,"No Found"))</f>
        <v/>
      </c>
      <c r="F191" t="str">
        <f>IF(B191="","",COUNTIF($B$2:B191,B191))</f>
        <v/>
      </c>
    </row>
    <row r="192" spans="1:6">
      <c r="A192" t="str">
        <f>IF(B192="","",_xlfn.XLOOKUP(B192,'All '!B:B,'All '!A:A,"No Found"))</f>
        <v/>
      </c>
      <c r="F192" t="str">
        <f>IF(B192="","",COUNTIF($B$2:B192,B192))</f>
        <v/>
      </c>
    </row>
    <row r="193" spans="1:6">
      <c r="A193" t="str">
        <f>IF(B193="","",_xlfn.XLOOKUP(B193,'All '!B:B,'All '!A:A,"No Found"))</f>
        <v/>
      </c>
      <c r="F193" t="str">
        <f>IF(B193="","",COUNTIF($B$2:B193,B193))</f>
        <v/>
      </c>
    </row>
    <row r="194" spans="1:6">
      <c r="A194" t="str">
        <f>IF(B194="","",_xlfn.XLOOKUP(B194,'All '!B:B,'All '!A:A,"No Found"))</f>
        <v/>
      </c>
      <c r="F194" t="str">
        <f>IF(B194="","",COUNTIF($B$2:B194,B194))</f>
        <v/>
      </c>
    </row>
    <row r="195" spans="1:6">
      <c r="A195" t="str">
        <f>IF(B195="","",_xlfn.XLOOKUP(B195,'All '!B:B,'All '!A:A,"No Found"))</f>
        <v/>
      </c>
      <c r="F195" t="str">
        <f>IF(B195="","",COUNTIF($B$2:B195,B195))</f>
        <v/>
      </c>
    </row>
    <row r="196" spans="1:6">
      <c r="A196" t="str">
        <f>IF(B196="","",_xlfn.XLOOKUP(B196,'All '!B:B,'All '!A:A,"No Found"))</f>
        <v/>
      </c>
      <c r="F196" t="str">
        <f>IF(B196="","",COUNTIF($B$2:B196,B196))</f>
        <v/>
      </c>
    </row>
    <row r="197" spans="1:6">
      <c r="A197" t="str">
        <f>IF(B197="","",_xlfn.XLOOKUP(B197,'All '!B:B,'All '!A:A,"No Found"))</f>
        <v/>
      </c>
      <c r="F197" t="str">
        <f>IF(B197="","",COUNTIF($B$2:B197,B197))</f>
        <v/>
      </c>
    </row>
    <row r="198" spans="1:6">
      <c r="A198" t="str">
        <f>IF(B198="","",_xlfn.XLOOKUP(B198,'All '!B:B,'All '!A:A,"No Found"))</f>
        <v/>
      </c>
      <c r="F198" t="str">
        <f>IF(B198="","",COUNTIF($B$2:B198,B198))</f>
        <v/>
      </c>
    </row>
    <row r="199" spans="1:6">
      <c r="A199" t="str">
        <f>IF(B199="","",_xlfn.XLOOKUP(B199,'All '!B:B,'All '!A:A,"No Found"))</f>
        <v/>
      </c>
      <c r="F199" t="str">
        <f>IF(B199="","",COUNTIF($B$2:B199,B199))</f>
        <v/>
      </c>
    </row>
    <row r="200" spans="1:6">
      <c r="A200" t="str">
        <f>IF(B200="","",_xlfn.XLOOKUP(B200,'All '!B:B,'All '!A:A,"No Found"))</f>
        <v/>
      </c>
      <c r="F200" t="str">
        <f>IF(B200="","",COUNTIF($B$2:B200,B200))</f>
        <v/>
      </c>
    </row>
    <row r="201" spans="1:6">
      <c r="A201" t="str">
        <f>IF(B201="","",_xlfn.XLOOKUP(B201,'All '!B:B,'All '!A:A,"No Found"))</f>
        <v/>
      </c>
      <c r="F201" t="str">
        <f>IF(B201="","",COUNTIF($B$2:B201,B201))</f>
        <v/>
      </c>
    </row>
    <row r="202" spans="1:6">
      <c r="A202" t="str">
        <f>IF(B202="","",_xlfn.XLOOKUP(B202,'All '!B:B,'All '!A:A,"No Found"))</f>
        <v/>
      </c>
      <c r="F202" t="str">
        <f>IF(B202="","",COUNTIF($B$2:B202,B202))</f>
        <v/>
      </c>
    </row>
    <row r="203" spans="1:6">
      <c r="A203" t="str">
        <f>IF(B203="","",_xlfn.XLOOKUP(B203,'All '!B:B,'All '!A:A,"No Found"))</f>
        <v/>
      </c>
      <c r="F203" t="str">
        <f>IF(B203="","",COUNTIF($B$2:B203,B203))</f>
        <v/>
      </c>
    </row>
    <row r="204" spans="1:6">
      <c r="A204" t="str">
        <f>IF(B204="","",_xlfn.XLOOKUP(B204,'All '!B:B,'All '!A:A,"No Found"))</f>
        <v/>
      </c>
      <c r="F204" t="str">
        <f>IF(B204="","",COUNTIF($B$2:B204,B204))</f>
        <v/>
      </c>
    </row>
    <row r="205" spans="1:6">
      <c r="A205" t="str">
        <f>IF(B205="","",_xlfn.XLOOKUP(B205,'All '!B:B,'All '!A:A,"No Found"))</f>
        <v/>
      </c>
      <c r="F205" t="str">
        <f>IF(B205="","",COUNTIF($B$2:B205,B205))</f>
        <v/>
      </c>
    </row>
    <row r="206" spans="1:6">
      <c r="A206" t="str">
        <f>IF(B206="","",_xlfn.XLOOKUP(B206,'All '!B:B,'All '!A:A,"No Found"))</f>
        <v/>
      </c>
      <c r="F206" t="str">
        <f>IF(B206="","",COUNTIF($B$2:B206,B206))</f>
        <v/>
      </c>
    </row>
    <row r="207" spans="1:6">
      <c r="A207" t="str">
        <f>IF(B207="","",_xlfn.XLOOKUP(B207,'All '!B:B,'All '!A:A,"No Found"))</f>
        <v/>
      </c>
      <c r="F207" t="str">
        <f>IF(B207="","",COUNTIF($B$2:B207,B207))</f>
        <v/>
      </c>
    </row>
    <row r="208" spans="1:6">
      <c r="A208" t="str">
        <f>IF(B208="","",_xlfn.XLOOKUP(B208,'All '!B:B,'All '!A:A,"No Found"))</f>
        <v/>
      </c>
      <c r="F208" t="str">
        <f>IF(B208="","",COUNTIF($B$2:B208,B208))</f>
        <v/>
      </c>
    </row>
    <row r="209" spans="1:6">
      <c r="A209" t="str">
        <f>IF(B209="","",_xlfn.XLOOKUP(B209,'All '!B:B,'All '!A:A,"No Found"))</f>
        <v/>
      </c>
      <c r="F209" t="str">
        <f>IF(B209="","",COUNTIF($B$2:B209,B209))</f>
        <v/>
      </c>
    </row>
    <row r="210" spans="1:6">
      <c r="A210" t="str">
        <f>IF(B210="","",_xlfn.XLOOKUP(B210,'All '!B:B,'All '!A:A,"No Found"))</f>
        <v/>
      </c>
      <c r="F210" t="str">
        <f>IF(B210="","",COUNTIF($B$2:B210,B210))</f>
        <v/>
      </c>
    </row>
    <row r="211" spans="1:6">
      <c r="A211" t="str">
        <f>IF(B211="","",_xlfn.XLOOKUP(B211,'All '!B:B,'All '!A:A,"No Found"))</f>
        <v/>
      </c>
      <c r="F211" t="str">
        <f>IF(B211="","",COUNTIF($B$2:B211,B211))</f>
        <v/>
      </c>
    </row>
    <row r="212" spans="1:6">
      <c r="A212" t="str">
        <f>IF(B212="","",_xlfn.XLOOKUP(B212,'All '!B:B,'All '!A:A,"No Found"))</f>
        <v/>
      </c>
      <c r="F212" t="str">
        <f>IF(B212="","",COUNTIF($B$2:B212,B212))</f>
        <v/>
      </c>
    </row>
    <row r="213" spans="1:6">
      <c r="A213" t="str">
        <f>IF(B213="","",_xlfn.XLOOKUP(B213,'All '!B:B,'All '!A:A,"No Found"))</f>
        <v/>
      </c>
      <c r="F213" t="str">
        <f>IF(B213="","",COUNTIF($B$2:B213,B213))</f>
        <v/>
      </c>
    </row>
    <row r="214" spans="1:6">
      <c r="A214" t="str">
        <f>IF(B214="","",_xlfn.XLOOKUP(B214,'All '!B:B,'All '!A:A,"No Found"))</f>
        <v/>
      </c>
      <c r="F214" t="str">
        <f>IF(B214="","",COUNTIF($B$2:B214,B214))</f>
        <v/>
      </c>
    </row>
    <row r="215" spans="1:6">
      <c r="A215" t="str">
        <f>IF(B215="","",_xlfn.XLOOKUP(B215,'All '!B:B,'All '!A:A,"No Found"))</f>
        <v/>
      </c>
      <c r="F215" t="str">
        <f>IF(B215="","",COUNTIF($B$2:B215,B215))</f>
        <v/>
      </c>
    </row>
    <row r="216" spans="1:6">
      <c r="A216" t="str">
        <f>IF(B216="","",_xlfn.XLOOKUP(B216,'All '!B:B,'All '!A:A,"No Found"))</f>
        <v/>
      </c>
      <c r="F216" t="str">
        <f>IF(B216="","",COUNTIF($B$2:B216,B216))</f>
        <v/>
      </c>
    </row>
    <row r="217" spans="1:6">
      <c r="A217" t="str">
        <f>IF(B217="","",_xlfn.XLOOKUP(B217,'All '!B:B,'All '!A:A,"No Found"))</f>
        <v/>
      </c>
      <c r="F217" t="str">
        <f>IF(B217="","",COUNTIF($B$2:B217,B217))</f>
        <v/>
      </c>
    </row>
    <row r="218" spans="1:6">
      <c r="A218" t="str">
        <f>IF(B218="","",_xlfn.XLOOKUP(B218,'All '!B:B,'All '!A:A,"No Found"))</f>
        <v/>
      </c>
      <c r="F218" t="str">
        <f>IF(B218="","",COUNTIF($B$2:B218,B218))</f>
        <v/>
      </c>
    </row>
    <row r="219" spans="1:6">
      <c r="A219" t="str">
        <f>IF(B219="","",_xlfn.XLOOKUP(B219,'All '!B:B,'All '!A:A,"No Found"))</f>
        <v/>
      </c>
      <c r="F219" t="str">
        <f>IF(B219="","",COUNTIF($B$2:B219,B219))</f>
        <v/>
      </c>
    </row>
    <row r="220" spans="1:6">
      <c r="A220" t="str">
        <f>IF(B220="","",_xlfn.XLOOKUP(B220,'All '!B:B,'All '!A:A,"No Found"))</f>
        <v/>
      </c>
      <c r="F220" t="str">
        <f>IF(B220="","",COUNTIF($B$2:B220,B220))</f>
        <v/>
      </c>
    </row>
    <row r="221" spans="1:6">
      <c r="A221" t="str">
        <f>IF(B221="","",_xlfn.XLOOKUP(B221,'All '!B:B,'All '!A:A,"No Found"))</f>
        <v/>
      </c>
      <c r="F221" t="str">
        <f>IF(B221="","",COUNTIF($B$2:B221,B221))</f>
        <v/>
      </c>
    </row>
    <row r="222" spans="1:6">
      <c r="A222" t="str">
        <f>IF(B222="","",_xlfn.XLOOKUP(B222,'All '!B:B,'All '!A:A,"No Found"))</f>
        <v/>
      </c>
      <c r="F222" t="str">
        <f>IF(B222="","",COUNTIF($B$2:B222,B222))</f>
        <v/>
      </c>
    </row>
    <row r="223" spans="1:6">
      <c r="A223" t="str">
        <f>IF(B223="","",_xlfn.XLOOKUP(B223,'All '!B:B,'All '!A:A,"No Found"))</f>
        <v/>
      </c>
      <c r="F223" t="str">
        <f>IF(B223="","",COUNTIF($B$2:B223,B223))</f>
        <v/>
      </c>
    </row>
    <row r="224" spans="1:6">
      <c r="A224" t="str">
        <f>IF(B224="","",_xlfn.XLOOKUP(B224,'All '!B:B,'All '!A:A,"No Found"))</f>
        <v/>
      </c>
      <c r="F224" t="str">
        <f>IF(B224="","",COUNTIF($B$2:B224,B224))</f>
        <v/>
      </c>
    </row>
    <row r="225" spans="1:6">
      <c r="A225" t="str">
        <f>IF(B225="","",_xlfn.XLOOKUP(B225,'All '!B:B,'All '!A:A,"No Found"))</f>
        <v/>
      </c>
      <c r="F225" t="str">
        <f>IF(B225="","",COUNTIF($B$2:B225,B225))</f>
        <v/>
      </c>
    </row>
    <row r="226" spans="1:6">
      <c r="A226" t="str">
        <f>IF(B226="","",_xlfn.XLOOKUP(B226,'All '!B:B,'All '!A:A,"No Found"))</f>
        <v/>
      </c>
      <c r="F226" t="str">
        <f>IF(B226="","",COUNTIF($B$2:B226,B226))</f>
        <v/>
      </c>
    </row>
    <row r="227" spans="1:6">
      <c r="A227" t="str">
        <f>IF(B227="","",_xlfn.XLOOKUP(B227,'All '!B:B,'All '!A:A,"No Found"))</f>
        <v/>
      </c>
      <c r="F227" t="str">
        <f>IF(B227="","",COUNTIF($B$2:B227,B227))</f>
        <v/>
      </c>
    </row>
    <row r="228" spans="1:6">
      <c r="A228" t="str">
        <f>IF(B228="","",_xlfn.XLOOKUP(B228,'All '!B:B,'All '!A:A,"No Found"))</f>
        <v/>
      </c>
      <c r="F228" t="str">
        <f>IF(B228="","",COUNTIF($B$2:B228,B228))</f>
        <v/>
      </c>
    </row>
    <row r="229" spans="1:6">
      <c r="A229" t="str">
        <f>IF(B229="","",_xlfn.XLOOKUP(B229,'All '!B:B,'All '!A:A,"No Found"))</f>
        <v/>
      </c>
      <c r="F229" t="str">
        <f>IF(B229="","",COUNTIF($B$2:B229,B229))</f>
        <v/>
      </c>
    </row>
    <row r="230" spans="1:6">
      <c r="A230" t="str">
        <f>IF(B230="","",_xlfn.XLOOKUP(B230,'All '!B:B,'All '!A:A,"No Found"))</f>
        <v/>
      </c>
      <c r="F230" t="str">
        <f>IF(B230="","",COUNTIF($B$2:B230,B230))</f>
        <v/>
      </c>
    </row>
    <row r="231" spans="1:6">
      <c r="A231" t="str">
        <f>IF(B231="","",_xlfn.XLOOKUP(B231,'All '!B:B,'All '!A:A,"No Found"))</f>
        <v/>
      </c>
      <c r="F231" t="str">
        <f>IF(B231="","",COUNTIF($B$2:B231,B231))</f>
        <v/>
      </c>
    </row>
    <row r="232" spans="1:6">
      <c r="A232" t="str">
        <f>IF(B232="","",_xlfn.XLOOKUP(B232,'All '!B:B,'All '!A:A,"No Found"))</f>
        <v/>
      </c>
      <c r="F232" t="str">
        <f>IF(B232="","",COUNTIF($B$2:B232,B232))</f>
        <v/>
      </c>
    </row>
    <row r="233" spans="1:6">
      <c r="A233" t="str">
        <f>IF(B233="","",_xlfn.XLOOKUP(B233,'All '!B:B,'All '!A:A,"No Found"))</f>
        <v/>
      </c>
      <c r="F233" t="str">
        <f>IF(B233="","",COUNTIF($B$2:B233,B233))</f>
        <v/>
      </c>
    </row>
    <row r="234" spans="1:6">
      <c r="A234" t="str">
        <f>IF(B234="","",_xlfn.XLOOKUP(B234,'All '!B:B,'All '!A:A,"No Found"))</f>
        <v/>
      </c>
      <c r="F234" t="str">
        <f>IF(B234="","",COUNTIF($B$2:B234,B234))</f>
        <v/>
      </c>
    </row>
    <row r="235" spans="1:6">
      <c r="A235" t="str">
        <f>IF(B235="","",_xlfn.XLOOKUP(B235,'All '!B:B,'All '!A:A,"No Found"))</f>
        <v/>
      </c>
      <c r="F235" t="str">
        <f>IF(B235="","",COUNTIF($B$2:B235,B235))</f>
        <v/>
      </c>
    </row>
    <row r="236" spans="1:6">
      <c r="A236" t="str">
        <f>IF(B236="","",_xlfn.XLOOKUP(B236,'All '!B:B,'All '!A:A,"No Found"))</f>
        <v/>
      </c>
      <c r="F236" t="str">
        <f>IF(B236="","",COUNTIF($B$2:B236,B236))</f>
        <v/>
      </c>
    </row>
    <row r="237" spans="1:6">
      <c r="A237" t="str">
        <f>IF(B237="","",_xlfn.XLOOKUP(B237,'All '!B:B,'All '!A:A,"No Found"))</f>
        <v/>
      </c>
      <c r="F237" t="str">
        <f>IF(B237="","",COUNTIF($B$2:B237,B237))</f>
        <v/>
      </c>
    </row>
    <row r="238" spans="1:6">
      <c r="A238" t="str">
        <f>IF(B238="","",_xlfn.XLOOKUP(B238,'All '!B:B,'All '!A:A,"No Found"))</f>
        <v/>
      </c>
      <c r="F238" t="str">
        <f>IF(B238="","",COUNTIF($B$2:B238,B238))</f>
        <v/>
      </c>
    </row>
    <row r="239" spans="1:6">
      <c r="A239" t="str">
        <f>IF(B239="","",_xlfn.XLOOKUP(B239,'All '!B:B,'All '!A:A,"No Found"))</f>
        <v/>
      </c>
      <c r="F239" t="str">
        <f>IF(B239="","",COUNTIF($B$2:B239,B239))</f>
        <v/>
      </c>
    </row>
    <row r="240" spans="1:6">
      <c r="A240" t="str">
        <f>IF(B240="","",_xlfn.XLOOKUP(B240,'All '!B:B,'All '!A:A,"No Found"))</f>
        <v/>
      </c>
      <c r="F240" t="str">
        <f>IF(B240="","",COUNTIF($B$2:B240,B240))</f>
        <v/>
      </c>
    </row>
    <row r="241" spans="1:6">
      <c r="A241" t="str">
        <f>IF(B241="","",_xlfn.XLOOKUP(B241,'All '!B:B,'All '!A:A,"No Found"))</f>
        <v/>
      </c>
      <c r="F241" t="str">
        <f>IF(B241="","",COUNTIF($B$2:B241,B241))</f>
        <v/>
      </c>
    </row>
    <row r="242" spans="1:6">
      <c r="A242" t="str">
        <f>IF(B242="","",_xlfn.XLOOKUP(B242,'All '!B:B,'All '!A:A,"No Found"))</f>
        <v/>
      </c>
      <c r="F242" t="str">
        <f>IF(B242="","",COUNTIF($B$2:B242,B242))</f>
        <v/>
      </c>
    </row>
    <row r="243" spans="1:6">
      <c r="A243" t="str">
        <f>IF(B243="","",_xlfn.XLOOKUP(B243,'All '!B:B,'All '!A:A,"No Found"))</f>
        <v/>
      </c>
      <c r="F243" t="str">
        <f>IF(B243="","",COUNTIF($B$2:B243,B243))</f>
        <v/>
      </c>
    </row>
    <row r="244" spans="1:6">
      <c r="A244" t="str">
        <f>IF(B244="","",_xlfn.XLOOKUP(B244,'All '!B:B,'All '!A:A,"No Found"))</f>
        <v/>
      </c>
      <c r="F244" t="str">
        <f>IF(B244="","",COUNTIF($B$2:B244,B244))</f>
        <v/>
      </c>
    </row>
    <row r="245" spans="1:6">
      <c r="A245" t="str">
        <f>IF(B245="","",_xlfn.XLOOKUP(B245,'All '!B:B,'All '!A:A,"No Found"))</f>
        <v/>
      </c>
      <c r="F245" t="str">
        <f>IF(B245="","",COUNTIF($B$2:B245,B245))</f>
        <v/>
      </c>
    </row>
    <row r="246" spans="1:6">
      <c r="A246" t="str">
        <f>IF(B246="","",_xlfn.XLOOKUP(B246,'All '!B:B,'All '!A:A,"No Found"))</f>
        <v/>
      </c>
      <c r="F246" t="str">
        <f>IF(B246="","",COUNTIF($B$2:B246,B246))</f>
        <v/>
      </c>
    </row>
    <row r="247" spans="1:6">
      <c r="A247" t="str">
        <f>IF(B247="","",_xlfn.XLOOKUP(B247,'All '!B:B,'All '!A:A,"No Found"))</f>
        <v/>
      </c>
      <c r="F247" t="str">
        <f>IF(B247="","",COUNTIF($B$2:B247,B247))</f>
        <v/>
      </c>
    </row>
    <row r="248" spans="1:6">
      <c r="A248" t="str">
        <f>IF(B248="","",_xlfn.XLOOKUP(B248,'All '!B:B,'All '!A:A,"No Found"))</f>
        <v/>
      </c>
      <c r="F248" t="str">
        <f>IF(B248="","",COUNTIF($B$2:B248,B248))</f>
        <v/>
      </c>
    </row>
    <row r="249" spans="1:6">
      <c r="A249" t="str">
        <f>IF(B249="","",_xlfn.XLOOKUP(B249,'All '!B:B,'All '!A:A,"No Found"))</f>
        <v/>
      </c>
      <c r="F249" t="str">
        <f>IF(B249="","",COUNTIF($B$2:B249,B249))</f>
        <v/>
      </c>
    </row>
    <row r="250" spans="1:6">
      <c r="A250" t="str">
        <f>IF(B250="","",_xlfn.XLOOKUP(B250,'All '!B:B,'All '!A:A,"No Found"))</f>
        <v/>
      </c>
      <c r="F250" t="str">
        <f>IF(B250="","",COUNTIF($B$2:B250,B250))</f>
        <v/>
      </c>
    </row>
    <row r="251" spans="1:6">
      <c r="A251" t="str">
        <f>IF(B251="","",_xlfn.XLOOKUP(B251,'All '!B:B,'All '!A:A,"No Found"))</f>
        <v/>
      </c>
      <c r="F251" t="str">
        <f>IF(B251="","",COUNTIF($B$2:B251,B251))</f>
        <v/>
      </c>
    </row>
    <row r="252" spans="1:6">
      <c r="A252" t="str">
        <f>IF(B252="","",_xlfn.XLOOKUP(B252,'All '!B:B,'All '!A:A,"No Found"))</f>
        <v/>
      </c>
      <c r="F252" t="str">
        <f>IF(B252="","",COUNTIF($B$2:B252,B252))</f>
        <v/>
      </c>
    </row>
    <row r="253" spans="1:6">
      <c r="A253" t="str">
        <f>IF(B253="","",_xlfn.XLOOKUP(B253,'All '!B:B,'All '!A:A,"No Found"))</f>
        <v/>
      </c>
      <c r="F253" t="str">
        <f>IF(B253="","",COUNTIF($B$2:B253,B253))</f>
        <v/>
      </c>
    </row>
    <row r="254" spans="1:6">
      <c r="A254" t="str">
        <f>IF(B254="","",_xlfn.XLOOKUP(B254,'All '!B:B,'All '!A:A,"No Found"))</f>
        <v/>
      </c>
      <c r="F254" t="str">
        <f>IF(B254="","",COUNTIF($B$2:B254,B254))</f>
        <v/>
      </c>
    </row>
    <row r="255" spans="1:6">
      <c r="A255" t="str">
        <f>IF(B255="","",_xlfn.XLOOKUP(B255,'All '!B:B,'All '!A:A,"No Found"))</f>
        <v/>
      </c>
      <c r="F255" t="str">
        <f>IF(B255="","",COUNTIF($B$2:B255,B255))</f>
        <v/>
      </c>
    </row>
    <row r="256" spans="1:6">
      <c r="A256" t="str">
        <f>IF(B256="","",_xlfn.XLOOKUP(B256,'All '!B:B,'All '!A:A,"No Found"))</f>
        <v/>
      </c>
      <c r="F256" t="str">
        <f>IF(B256="","",COUNTIF($B$2:B256,B256))</f>
        <v/>
      </c>
    </row>
    <row r="257" spans="1:6">
      <c r="A257" t="str">
        <f>IF(B257="","",_xlfn.XLOOKUP(B257,'All '!B:B,'All '!A:A,"No Found"))</f>
        <v/>
      </c>
      <c r="F257" t="str">
        <f>IF(B257="","",COUNTIF($B$2:B257,B257))</f>
        <v/>
      </c>
    </row>
    <row r="258" spans="1:6">
      <c r="A258" t="str">
        <f>IF(B258="","",_xlfn.XLOOKUP(B258,'All '!B:B,'All '!A:A,"No Found"))</f>
        <v/>
      </c>
      <c r="F258" t="str">
        <f>IF(B258="","",COUNTIF($B$2:B258,B258))</f>
        <v/>
      </c>
    </row>
    <row r="259" spans="1:6">
      <c r="A259" t="str">
        <f>IF(B259="","",_xlfn.XLOOKUP(B259,'All '!B:B,'All '!A:A,"No Found"))</f>
        <v/>
      </c>
      <c r="F259" t="str">
        <f>IF(B259="","",COUNTIF($B$2:B259,B259))</f>
        <v/>
      </c>
    </row>
    <row r="260" spans="1:6">
      <c r="A260" t="str">
        <f>IF(B260="","",_xlfn.XLOOKUP(B260,'All '!B:B,'All '!A:A,"No Found"))</f>
        <v/>
      </c>
      <c r="F260" t="str">
        <f>IF(B260="","",COUNTIF($B$2:B260,B260))</f>
        <v/>
      </c>
    </row>
    <row r="261" spans="1:6">
      <c r="A261" t="str">
        <f>IF(B261="","",_xlfn.XLOOKUP(B261,'All '!B:B,'All '!A:A,"No Found"))</f>
        <v/>
      </c>
      <c r="F261" t="str">
        <f>IF(B261="","",COUNTIF($B$2:B261,B261))</f>
        <v/>
      </c>
    </row>
    <row r="262" spans="1:6">
      <c r="A262" t="str">
        <f>IF(B262="","",_xlfn.XLOOKUP(B262,'All '!B:B,'All '!A:A,"No Found"))</f>
        <v/>
      </c>
      <c r="F262" t="str">
        <f>IF(B262="","",COUNTIF($B$2:B262,B262))</f>
        <v/>
      </c>
    </row>
    <row r="263" spans="1:6">
      <c r="A263" t="str">
        <f>IF(B263="","",_xlfn.XLOOKUP(B263,'All '!B:B,'All '!A:A,"No Found"))</f>
        <v/>
      </c>
      <c r="F263" t="str">
        <f>IF(B263="","",COUNTIF($B$2:B263,B263))</f>
        <v/>
      </c>
    </row>
    <row r="264" spans="1:6">
      <c r="A264" t="str">
        <f>IF(B264="","",_xlfn.XLOOKUP(B264,'All '!B:B,'All '!A:A,"No Found"))</f>
        <v/>
      </c>
      <c r="F264" t="str">
        <f>IF(B264="","",COUNTIF($B$2:B264,B264))</f>
        <v/>
      </c>
    </row>
    <row r="265" spans="1:6">
      <c r="A265" t="str">
        <f>IF(B265="","",_xlfn.XLOOKUP(B265,'All '!B:B,'All '!A:A,"No Found"))</f>
        <v/>
      </c>
      <c r="F265" t="str">
        <f>IF(B265="","",COUNTIF($B$2:B265,B265))</f>
        <v/>
      </c>
    </row>
    <row r="266" spans="1:6">
      <c r="A266" t="str">
        <f>IF(B266="","",_xlfn.XLOOKUP(B266,'All '!B:B,'All '!A:A,"No Found"))</f>
        <v/>
      </c>
      <c r="F266" t="str">
        <f>IF(B266="","",COUNTIF($B$2:B266,B266))</f>
        <v/>
      </c>
    </row>
    <row r="267" spans="1:6">
      <c r="A267" t="str">
        <f>IF(B267="","",_xlfn.XLOOKUP(B267,'All '!B:B,'All '!A:A,"No Found"))</f>
        <v/>
      </c>
      <c r="F267" t="str">
        <f>IF(B267="","",COUNTIF($B$2:B267,B267))</f>
        <v/>
      </c>
    </row>
    <row r="268" spans="1:6">
      <c r="A268" t="str">
        <f>IF(B268="","",_xlfn.XLOOKUP(B268,'All '!B:B,'All '!A:A,"No Found"))</f>
        <v/>
      </c>
      <c r="F268" t="str">
        <f>IF(B268="","",COUNTIF($B$2:B268,B268))</f>
        <v/>
      </c>
    </row>
    <row r="269" spans="1:6">
      <c r="A269" t="str">
        <f>IF(B269="","",_xlfn.XLOOKUP(B269,'All '!B:B,'All '!A:A,"No Found"))</f>
        <v/>
      </c>
      <c r="F269" t="str">
        <f>IF(B269="","",COUNTIF($B$2:B269,B269))</f>
        <v/>
      </c>
    </row>
    <row r="270" spans="1:6">
      <c r="A270" t="str">
        <f>IF(B270="","",_xlfn.XLOOKUP(B270,'All '!B:B,'All '!A:A,"No Found"))</f>
        <v/>
      </c>
      <c r="F270" t="str">
        <f>IF(B270="","",COUNTIF($B$2:B270,B270))</f>
        <v/>
      </c>
    </row>
    <row r="271" spans="1:6">
      <c r="A271" t="str">
        <f>IF(B271="","",_xlfn.XLOOKUP(B271,'All '!B:B,'All '!A:A,"No Found"))</f>
        <v/>
      </c>
      <c r="F271" t="str">
        <f>IF(B271="","",COUNTIF($B$2:B271,B271))</f>
        <v/>
      </c>
    </row>
    <row r="272" spans="1:6">
      <c r="A272" t="str">
        <f>IF(B272="","",_xlfn.XLOOKUP(B272,'All '!B:B,'All '!A:A,"No Found"))</f>
        <v/>
      </c>
      <c r="F272" t="str">
        <f>IF(B272="","",COUNTIF($B$2:B272,B272))</f>
        <v/>
      </c>
    </row>
    <row r="273" spans="1:6">
      <c r="A273" t="str">
        <f>IF(B273="","",_xlfn.XLOOKUP(B273,'All '!B:B,'All '!A:A,"No Found"))</f>
        <v/>
      </c>
      <c r="F273" t="str">
        <f>IF(B273="","",COUNTIF($B$2:B273,B273))</f>
        <v/>
      </c>
    </row>
    <row r="274" spans="1:6">
      <c r="A274" t="str">
        <f>IF(B274="","",_xlfn.XLOOKUP(B274,'All '!B:B,'All '!A:A,"No Found"))</f>
        <v/>
      </c>
      <c r="F274" t="str">
        <f>IF(B274="","",COUNTIF($B$2:B274,B274))</f>
        <v/>
      </c>
    </row>
    <row r="275" spans="1:6">
      <c r="A275" t="str">
        <f>IF(B275="","",_xlfn.XLOOKUP(B275,'All '!B:B,'All '!A:A,"No Found"))</f>
        <v/>
      </c>
      <c r="F275" t="str">
        <f>IF(B275="","",COUNTIF($B$2:B275,B275))</f>
        <v/>
      </c>
    </row>
    <row r="276" spans="1:6">
      <c r="A276" t="str">
        <f>IF(B276="","",_xlfn.XLOOKUP(B276,'All '!B:B,'All '!A:A,"No Found"))</f>
        <v/>
      </c>
      <c r="F276" t="str">
        <f>IF(B276="","",COUNTIF($B$2:B276,B276))</f>
        <v/>
      </c>
    </row>
    <row r="277" spans="1:6">
      <c r="A277" t="str">
        <f>IF(B277="","",_xlfn.XLOOKUP(B277,'All '!B:B,'All '!A:A,"No Found"))</f>
        <v/>
      </c>
      <c r="F277" t="str">
        <f>IF(B277="","",COUNTIF($B$2:B277,B277))</f>
        <v/>
      </c>
    </row>
    <row r="278" spans="1:6">
      <c r="A278" t="str">
        <f>IF(B278="","",_xlfn.XLOOKUP(B278,'All '!B:B,'All '!A:A,"No Found"))</f>
        <v/>
      </c>
      <c r="F278" t="str">
        <f>IF(B278="","",COUNTIF($B$2:B278,B278))</f>
        <v/>
      </c>
    </row>
    <row r="279" spans="1:6">
      <c r="A279" t="str">
        <f>IF(B279="","",_xlfn.XLOOKUP(B279,'All '!B:B,'All '!A:A,"No Found"))</f>
        <v/>
      </c>
      <c r="F279" t="str">
        <f>IF(B279="","",COUNTIF($B$2:B279,B279))</f>
        <v/>
      </c>
    </row>
    <row r="280" spans="1:6">
      <c r="A280" t="str">
        <f>IF(B280="","",_xlfn.XLOOKUP(B280,'All '!B:B,'All '!A:A,"No Found"))</f>
        <v/>
      </c>
      <c r="F280" t="str">
        <f>IF(B280="","",COUNTIF($B$2:B280,B280))</f>
        <v/>
      </c>
    </row>
    <row r="281" spans="1:6">
      <c r="A281" t="str">
        <f>IF(B281="","",_xlfn.XLOOKUP(B281,'All '!B:B,'All '!A:A,"No Found"))</f>
        <v/>
      </c>
      <c r="F281" t="str">
        <f>IF(B281="","",COUNTIF($B$2:B281,B281))</f>
        <v/>
      </c>
    </row>
    <row r="282" spans="1:6">
      <c r="A282" t="str">
        <f>IF(B282="","",_xlfn.XLOOKUP(B282,'All '!B:B,'All '!A:A,"No Found"))</f>
        <v/>
      </c>
      <c r="F282" t="str">
        <f>IF(B282="","",COUNTIF($B$2:B282,B282))</f>
        <v/>
      </c>
    </row>
    <row r="283" spans="1:6">
      <c r="A283" t="str">
        <f>IF(B283="","",_xlfn.XLOOKUP(B283,'All '!B:B,'All '!A:A,"No Found"))</f>
        <v/>
      </c>
      <c r="F283" t="str">
        <f>IF(B283="","",COUNTIF($B$2:B283,B283))</f>
        <v/>
      </c>
    </row>
    <row r="284" spans="1:6">
      <c r="A284" t="str">
        <f>IF(B284="","",_xlfn.XLOOKUP(B284,'All '!B:B,'All '!A:A,"No Found"))</f>
        <v/>
      </c>
      <c r="F284" t="str">
        <f>IF(B284="","",COUNTIF($B$2:B284,B284))</f>
        <v/>
      </c>
    </row>
    <row r="285" spans="1:6">
      <c r="A285" t="str">
        <f>IF(B285="","",_xlfn.XLOOKUP(B285,'All '!B:B,'All '!A:A,"No Found"))</f>
        <v/>
      </c>
      <c r="F285" t="str">
        <f>IF(B285="","",COUNTIF($B$2:B285,B285))</f>
        <v/>
      </c>
    </row>
    <row r="286" spans="1:6">
      <c r="A286" t="str">
        <f>IF(B286="","",_xlfn.XLOOKUP(B286,'All '!B:B,'All '!A:A,"No Found"))</f>
        <v/>
      </c>
      <c r="F286" t="str">
        <f>IF(B286="","",COUNTIF($B$2:B286,B286))</f>
        <v/>
      </c>
    </row>
    <row r="287" spans="1:6">
      <c r="A287" t="str">
        <f>IF(B287="","",_xlfn.XLOOKUP(B287,'All '!B:B,'All '!A:A,"No Found"))</f>
        <v/>
      </c>
      <c r="F287" t="str">
        <f>IF(B287="","",COUNTIF($B$2:B287,B287))</f>
        <v/>
      </c>
    </row>
    <row r="288" spans="1:6">
      <c r="A288" t="str">
        <f>IF(B288="","",_xlfn.XLOOKUP(B288,'All '!B:B,'All '!A:A,"No Found"))</f>
        <v/>
      </c>
      <c r="F288" t="str">
        <f>IF(B288="","",COUNTIF($B$2:B288,B288))</f>
        <v/>
      </c>
    </row>
    <row r="289" spans="1:6">
      <c r="A289" t="str">
        <f>IF(B289="","",_xlfn.XLOOKUP(B289,'All '!B:B,'All '!A:A,"No Found"))</f>
        <v/>
      </c>
      <c r="F289" t="str">
        <f>IF(B289="","",COUNTIF($B$2:B289,B289))</f>
        <v/>
      </c>
    </row>
    <row r="290" spans="1:6">
      <c r="A290" t="str">
        <f>IF(B290="","",_xlfn.XLOOKUP(B290,'All '!B:B,'All '!A:A,"No Found"))</f>
        <v/>
      </c>
      <c r="F290" t="str">
        <f>IF(B290="","",COUNTIF($B$2:B290,B290))</f>
        <v/>
      </c>
    </row>
    <row r="291" spans="1:6">
      <c r="A291" t="str">
        <f>IF(B291="","",_xlfn.XLOOKUP(B291,'All '!B:B,'All '!A:A,"No Found"))</f>
        <v/>
      </c>
      <c r="F291" t="str">
        <f>IF(B291="","",COUNTIF($B$2:B291,B291))</f>
        <v/>
      </c>
    </row>
    <row r="292" spans="1:6">
      <c r="A292" t="str">
        <f>IF(B292="","",_xlfn.XLOOKUP(B292,'All '!B:B,'All '!A:A,"No Found"))</f>
        <v/>
      </c>
      <c r="F292" t="str">
        <f>IF(B292="","",COUNTIF($B$2:B292,B292))</f>
        <v/>
      </c>
    </row>
    <row r="293" spans="1:6">
      <c r="A293" t="str">
        <f>IF(B293="","",_xlfn.XLOOKUP(B293,'All '!B:B,'All '!A:A,"No Found"))</f>
        <v/>
      </c>
      <c r="F293" t="str">
        <f>IF(B293="","",COUNTIF($B$2:B293,B293))</f>
        <v/>
      </c>
    </row>
    <row r="294" spans="1:6">
      <c r="A294" t="str">
        <f>IF(B294="","",_xlfn.XLOOKUP(B294,'All '!B:B,'All '!A:A,"No Found"))</f>
        <v/>
      </c>
      <c r="F294" t="str">
        <f>IF(B294="","",COUNTIF($B$2:B294,B294))</f>
        <v/>
      </c>
    </row>
    <row r="295" spans="1:6">
      <c r="A295" t="str">
        <f>IF(B295="","",_xlfn.XLOOKUP(B295,'All '!B:B,'All '!A:A,"No Found"))</f>
        <v/>
      </c>
      <c r="F295" t="str">
        <f>IF(B295="","",COUNTIF($B$2:B295,B295))</f>
        <v/>
      </c>
    </row>
    <row r="296" spans="1:6">
      <c r="A296" t="str">
        <f>IF(B296="","",_xlfn.XLOOKUP(B296,'All '!B:B,'All '!A:A,"No Found"))</f>
        <v/>
      </c>
      <c r="F296" t="str">
        <f>IF(B296="","",COUNTIF($B$2:B296,B296))</f>
        <v/>
      </c>
    </row>
    <row r="297" spans="1:6">
      <c r="A297" t="str">
        <f>IF(B297="","",_xlfn.XLOOKUP(B297,'All '!B:B,'All '!A:A,"No Found"))</f>
        <v/>
      </c>
      <c r="F297" t="str">
        <f>IF(B297="","",COUNTIF($B$2:B297,B297))</f>
        <v/>
      </c>
    </row>
    <row r="298" spans="1:6">
      <c r="A298" t="str">
        <f>IF(B298="","",_xlfn.XLOOKUP(B298,'All '!B:B,'All '!A:A,"No Found"))</f>
        <v/>
      </c>
      <c r="F298" t="str">
        <f>IF(B298="","",COUNTIF($B$2:B298,B298))</f>
        <v/>
      </c>
    </row>
    <row r="299" spans="1:6">
      <c r="A299" t="str">
        <f>IF(B299="","",_xlfn.XLOOKUP(B299,'All '!B:B,'All '!A:A,"No Found"))</f>
        <v/>
      </c>
      <c r="F299" t="str">
        <f>IF(B299="","",COUNTIF($B$2:B299,B299))</f>
        <v/>
      </c>
    </row>
    <row r="300" spans="1:6">
      <c r="A300" t="str">
        <f>IF(B300="","",_xlfn.XLOOKUP(B300,'All '!B:B,'All '!A:A,"No Found"))</f>
        <v/>
      </c>
      <c r="F300" t="str">
        <f>IF(B300="","",COUNTIF($B$2:B300,B300))</f>
        <v/>
      </c>
    </row>
    <row r="301" spans="1:6">
      <c r="A301" t="str">
        <f>IF(B301="","",_xlfn.XLOOKUP(B301,'All '!B:B,'All '!A:A,"No Found"))</f>
        <v/>
      </c>
      <c r="F301" t="str">
        <f>IF(B301="","",COUNTIF($B$2:B301,B301))</f>
        <v/>
      </c>
    </row>
    <row r="302" spans="1:6">
      <c r="A302" t="str">
        <f>IF(B302="","",_xlfn.XLOOKUP(B302,'All '!B:B,'All '!A:A,"No Found"))</f>
        <v/>
      </c>
      <c r="F302" t="str">
        <f>IF(B302="","",COUNTIF($B$2:B302,B302))</f>
        <v/>
      </c>
    </row>
    <row r="303" spans="1:6">
      <c r="A303" t="str">
        <f>IF(B303="","",_xlfn.XLOOKUP(B303,'All '!B:B,'All '!A:A,"No Found"))</f>
        <v/>
      </c>
      <c r="F303" t="str">
        <f>IF(B303="","",COUNTIF($B$2:B303,B303))</f>
        <v/>
      </c>
    </row>
    <row r="304" spans="1:6">
      <c r="A304" t="str">
        <f>IF(B304="","",_xlfn.XLOOKUP(B304,'All '!B:B,'All '!A:A,"No Found"))</f>
        <v/>
      </c>
      <c r="F304" t="str">
        <f>IF(B304="","",COUNTIF($B$2:B304,B304))</f>
        <v/>
      </c>
    </row>
    <row r="305" spans="1:6">
      <c r="A305" t="str">
        <f>IF(B305="","",_xlfn.XLOOKUP(B305,'All '!B:B,'All '!A:A,"No Found"))</f>
        <v/>
      </c>
      <c r="F305" t="str">
        <f>IF(B305="","",COUNTIF($B$2:B305,B305))</f>
        <v/>
      </c>
    </row>
    <row r="306" spans="1:6">
      <c r="A306" t="str">
        <f>IF(B306="","",_xlfn.XLOOKUP(B306,'All '!B:B,'All '!A:A,"No Found"))</f>
        <v/>
      </c>
      <c r="F306" t="str">
        <f>IF(B306="","",COUNTIF($B$2:B306,B306))</f>
        <v/>
      </c>
    </row>
    <row r="307" spans="1:6">
      <c r="A307" t="str">
        <f>IF(B307="","",_xlfn.XLOOKUP(B307,'All '!B:B,'All '!A:A,"No Found"))</f>
        <v/>
      </c>
      <c r="F307" t="str">
        <f>IF(B307="","",COUNTIF($B$2:B307,B307))</f>
        <v/>
      </c>
    </row>
    <row r="308" spans="1:6">
      <c r="A308" t="str">
        <f>IF(B308="","",_xlfn.XLOOKUP(B308,'All '!B:B,'All '!A:A,"No Found"))</f>
        <v/>
      </c>
      <c r="F308" t="str">
        <f>IF(B308="","",COUNTIF($B$2:B308,B308))</f>
        <v/>
      </c>
    </row>
    <row r="309" spans="1:6">
      <c r="A309" t="str">
        <f>IF(B309="","",_xlfn.XLOOKUP(B309,'All '!B:B,'All '!A:A,"No Found"))</f>
        <v/>
      </c>
      <c r="F309" t="str">
        <f>IF(B309="","",COUNTIF($B$2:B309,B309))</f>
        <v/>
      </c>
    </row>
    <row r="310" spans="1:6">
      <c r="A310" t="str">
        <f>IF(B310="","",_xlfn.XLOOKUP(B310,'All '!B:B,'All '!A:A,"No Found"))</f>
        <v/>
      </c>
      <c r="F310" t="str">
        <f>IF(B310="","",COUNTIF($B$2:B310,B310))</f>
        <v/>
      </c>
    </row>
    <row r="311" spans="1:6">
      <c r="A311" t="str">
        <f>IF(B311="","",_xlfn.XLOOKUP(B311,'All '!B:B,'All '!A:A,"No Found"))</f>
        <v/>
      </c>
      <c r="F311" t="str">
        <f>IF(B311="","",COUNTIF($B$2:B311,B311))</f>
        <v/>
      </c>
    </row>
    <row r="312" spans="1:6">
      <c r="A312" t="str">
        <f>IF(B312="","",_xlfn.XLOOKUP(B312,'All '!B:B,'All '!A:A,"No Found"))</f>
        <v/>
      </c>
      <c r="F312" t="str">
        <f>IF(B312="","",COUNTIF($B$2:B312,B312))</f>
        <v/>
      </c>
    </row>
    <row r="313" spans="1:6">
      <c r="A313" t="str">
        <f>IF(B313="","",_xlfn.XLOOKUP(B313,'All '!B:B,'All '!A:A,"No Found"))</f>
        <v/>
      </c>
      <c r="F313" t="str">
        <f>IF(B313="","",COUNTIF($B$2:B313,B313))</f>
        <v/>
      </c>
    </row>
    <row r="314" spans="1:6">
      <c r="A314" t="str">
        <f>IF(B314="","",_xlfn.XLOOKUP(B314,'All '!B:B,'All '!A:A,"No Found"))</f>
        <v/>
      </c>
      <c r="F314" t="str">
        <f>IF(B314="","",COUNTIF($B$2:B314,B314))</f>
        <v/>
      </c>
    </row>
    <row r="315" spans="1:6">
      <c r="A315" t="str">
        <f>IF(B315="","",_xlfn.XLOOKUP(B315,'All '!B:B,'All '!A:A,"No Found"))</f>
        <v/>
      </c>
      <c r="F315" t="str">
        <f>IF(B315="","",COUNTIF($B$2:B315,B315))</f>
        <v/>
      </c>
    </row>
    <row r="316" spans="1:6">
      <c r="A316" t="str">
        <f>IF(B316="","",_xlfn.XLOOKUP(B316,'All '!B:B,'All '!A:A,"No Found"))</f>
        <v/>
      </c>
      <c r="F316" t="str">
        <f>IF(B316="","",COUNTIF($B$2:B316,B316))</f>
        <v/>
      </c>
    </row>
    <row r="317" spans="1:6">
      <c r="A317" t="str">
        <f>IF(B317="","",_xlfn.XLOOKUP(B317,'All '!B:B,'All '!A:A,"No Found"))</f>
        <v/>
      </c>
      <c r="F317" t="str">
        <f>IF(B317="","",COUNTIF($B$2:B317,B317))</f>
        <v/>
      </c>
    </row>
    <row r="318" spans="1:6">
      <c r="A318" t="str">
        <f>IF(B318="","",_xlfn.XLOOKUP(B318,'All '!B:B,'All '!A:A,"No Found"))</f>
        <v/>
      </c>
      <c r="F318" t="str">
        <f>IF(B318="","",COUNTIF($B$2:B318,B318))</f>
        <v/>
      </c>
    </row>
    <row r="319" spans="1:6">
      <c r="A319" t="str">
        <f>IF(B319="","",_xlfn.XLOOKUP(B319,'All '!B:B,'All '!A:A,"No Found"))</f>
        <v/>
      </c>
      <c r="F319" t="str">
        <f>IF(B319="","",COUNTIF($B$2:B319,B319))</f>
        <v/>
      </c>
    </row>
    <row r="320" spans="1:6">
      <c r="A320" t="str">
        <f>IF(B320="","",_xlfn.XLOOKUP(B320,'All '!B:B,'All '!A:A,"No Found"))</f>
        <v/>
      </c>
      <c r="F320" t="str">
        <f>IF(B320="","",COUNTIF($B$2:B320,B320))</f>
        <v/>
      </c>
    </row>
    <row r="321" spans="1:6">
      <c r="A321" t="str">
        <f>IF(B321="","",_xlfn.XLOOKUP(B321,'All '!B:B,'All '!A:A,"No Found"))</f>
        <v/>
      </c>
      <c r="F321" t="str">
        <f>IF(B321="","",COUNTIF($B$2:B321,B321))</f>
        <v/>
      </c>
    </row>
    <row r="322" spans="1:6">
      <c r="A322" t="str">
        <f>IF(B322="","",_xlfn.XLOOKUP(B322,'All '!B:B,'All '!A:A,"No Found"))</f>
        <v/>
      </c>
      <c r="F322" t="str">
        <f>IF(B322="","",COUNTIF($B$2:B322,B322))</f>
        <v/>
      </c>
    </row>
    <row r="323" spans="1:6">
      <c r="A323" t="str">
        <f>IF(B323="","",_xlfn.XLOOKUP(B323,'All '!B:B,'All '!A:A,"No Found"))</f>
        <v/>
      </c>
      <c r="F323" t="str">
        <f>IF(B323="","",COUNTIF($B$2:B323,B323))</f>
        <v/>
      </c>
    </row>
    <row r="324" spans="1:6">
      <c r="A324" t="str">
        <f>IF(B324="","",_xlfn.XLOOKUP(B324,'All '!B:B,'All '!A:A,"No Found"))</f>
        <v/>
      </c>
      <c r="F324" t="str">
        <f>IF(B324="","",COUNTIF($B$2:B324,B324))</f>
        <v/>
      </c>
    </row>
    <row r="325" spans="1:6">
      <c r="A325" t="str">
        <f>IF(B325="","",_xlfn.XLOOKUP(B325,'All '!B:B,'All '!A:A,"No Found"))</f>
        <v/>
      </c>
      <c r="F325" t="str">
        <f>IF(B325="","",COUNTIF($B$2:B325,B325))</f>
        <v/>
      </c>
    </row>
    <row r="326" spans="1:6">
      <c r="A326" t="str">
        <f>IF(B326="","",_xlfn.XLOOKUP(B326,'All '!B:B,'All '!A:A,"No Found"))</f>
        <v/>
      </c>
      <c r="F326" t="str">
        <f>IF(B326="","",COUNTIF($B$2:B326,B326))</f>
        <v/>
      </c>
    </row>
    <row r="327" spans="1:6">
      <c r="A327" t="str">
        <f>IF(B327="","",_xlfn.XLOOKUP(B327,'All '!B:B,'All '!A:A,"No Found"))</f>
        <v/>
      </c>
      <c r="F327" t="str">
        <f>IF(B327="","",COUNTIF($B$2:B327,B327))</f>
        <v/>
      </c>
    </row>
    <row r="328" spans="1:6">
      <c r="A328" t="str">
        <f>IF(B328="","",_xlfn.XLOOKUP(B328,'All '!B:B,'All '!A:A,"No Found"))</f>
        <v/>
      </c>
      <c r="F328" t="str">
        <f>IF(B328="","",COUNTIF($B$2:B328,B328))</f>
        <v/>
      </c>
    </row>
    <row r="329" spans="1:6">
      <c r="A329" t="str">
        <f>IF(B329="","",_xlfn.XLOOKUP(B329,'All '!B:B,'All '!A:A,"No Found"))</f>
        <v/>
      </c>
      <c r="F329" t="str">
        <f>IF(B329="","",COUNTIF($B$2:B329,B329))</f>
        <v/>
      </c>
    </row>
    <row r="330" spans="1:6">
      <c r="A330" t="str">
        <f>IF(B330="","",_xlfn.XLOOKUP(B330,'All '!B:B,'All '!A:A,"No Found"))</f>
        <v/>
      </c>
      <c r="F330" t="str">
        <f>IF(B330="","",COUNTIF($B$2:B330,B330))</f>
        <v/>
      </c>
    </row>
    <row r="331" spans="1:6">
      <c r="A331" t="str">
        <f>IF(B331="","",_xlfn.XLOOKUP(B331,'All '!B:B,'All '!A:A,"No Found"))</f>
        <v/>
      </c>
      <c r="F331" t="str">
        <f>IF(B331="","",COUNTIF($B$2:B331,B331))</f>
        <v/>
      </c>
    </row>
    <row r="332" spans="1:6">
      <c r="A332" t="str">
        <f>IF(B332="","",_xlfn.XLOOKUP(B332,'All '!B:B,'All '!A:A,"No Found"))</f>
        <v/>
      </c>
      <c r="F332" t="str">
        <f>IF(B332="","",COUNTIF($B$2:B332,B332))</f>
        <v/>
      </c>
    </row>
    <row r="333" spans="1:6">
      <c r="A333" t="str">
        <f>IF(B333="","",_xlfn.XLOOKUP(B333,'All '!B:B,'All '!A:A,"No Found"))</f>
        <v/>
      </c>
      <c r="F333" t="str">
        <f>IF(B333="","",COUNTIF($B$2:B333,B333))</f>
        <v/>
      </c>
    </row>
    <row r="334" spans="1:6">
      <c r="A334" t="str">
        <f>IF(B334="","",_xlfn.XLOOKUP(B334,'All '!B:B,'All '!A:A,"No Found"))</f>
        <v/>
      </c>
      <c r="F334" t="str">
        <f>IF(B334="","",COUNTIF($B$2:B334,B334))</f>
        <v/>
      </c>
    </row>
    <row r="335" spans="1:6">
      <c r="A335" t="str">
        <f>IF(B335="","",_xlfn.XLOOKUP(B335,'All '!B:B,'All '!A:A,"No Found"))</f>
        <v/>
      </c>
      <c r="F335" t="str">
        <f>IF(B335="","",COUNTIF($B$2:B335,B335))</f>
        <v/>
      </c>
    </row>
    <row r="336" spans="1:6">
      <c r="A336" t="str">
        <f>IF(B336="","",_xlfn.XLOOKUP(B336,'All '!B:B,'All '!A:A,"No Found"))</f>
        <v/>
      </c>
      <c r="F336" t="str">
        <f>IF(B336="","",COUNTIF($B$2:B336,B336))</f>
        <v/>
      </c>
    </row>
    <row r="337" spans="1:6">
      <c r="A337" t="str">
        <f>IF(B337="","",_xlfn.XLOOKUP(B337,'All '!B:B,'All '!A:A,"No Found"))</f>
        <v/>
      </c>
      <c r="F337" t="str">
        <f>IF(B337="","",COUNTIF($B$2:B337,B337))</f>
        <v/>
      </c>
    </row>
    <row r="338" spans="1:6">
      <c r="A338" t="str">
        <f>IF(B338="","",_xlfn.XLOOKUP(B338,'All '!B:B,'All '!A:A,"No Found"))</f>
        <v/>
      </c>
      <c r="F338" t="str">
        <f>IF(B338="","",COUNTIF($B$2:B338,B338))</f>
        <v/>
      </c>
    </row>
    <row r="339" spans="1:6">
      <c r="A339" t="str">
        <f>IF(B339="","",_xlfn.XLOOKUP(B339,'All '!B:B,'All '!A:A,"No Found"))</f>
        <v/>
      </c>
      <c r="F339" t="str">
        <f>IF(B339="","",COUNTIF($B$2:B339,B339))</f>
        <v/>
      </c>
    </row>
    <row r="340" spans="1:6">
      <c r="A340" t="str">
        <f>IF(B340="","",_xlfn.XLOOKUP(B340,'All '!B:B,'All '!A:A,"No Found"))</f>
        <v/>
      </c>
      <c r="F340" t="str">
        <f>IF(B340="","",COUNTIF($B$2:B340,B340))</f>
        <v/>
      </c>
    </row>
    <row r="341" spans="1:6">
      <c r="A341" t="str">
        <f>IF(B341="","",_xlfn.XLOOKUP(B341,'All '!B:B,'All '!A:A,"No Found"))</f>
        <v/>
      </c>
      <c r="F341" t="str">
        <f>IF(B341="","",COUNTIF($B$2:B341,B341))</f>
        <v/>
      </c>
    </row>
    <row r="342" spans="1:6">
      <c r="A342" t="str">
        <f>IF(B342="","",_xlfn.XLOOKUP(B342,'All '!B:B,'All '!A:A,"No Found"))</f>
        <v/>
      </c>
      <c r="F342" t="str">
        <f>IF(B342="","",COUNTIF($B$2:B342,B342))</f>
        <v/>
      </c>
    </row>
    <row r="343" spans="1:6">
      <c r="A343" t="str">
        <f>IF(B343="","",_xlfn.XLOOKUP(B343,'All '!B:B,'All '!A:A,"No Found"))</f>
        <v/>
      </c>
      <c r="F343" t="str">
        <f>IF(B343="","",COUNTIF($B$2:B343,B343))</f>
        <v/>
      </c>
    </row>
    <row r="344" spans="1:6">
      <c r="A344" t="str">
        <f>IF(B344="","",_xlfn.XLOOKUP(B344,'All '!B:B,'All '!A:A,"No Found"))</f>
        <v/>
      </c>
      <c r="F344" t="str">
        <f>IF(B344="","",COUNTIF($B$2:B344,B344))</f>
        <v/>
      </c>
    </row>
    <row r="345" spans="1:6">
      <c r="A345" t="str">
        <f>IF(B345="","",_xlfn.XLOOKUP(B345,'All '!B:B,'All '!A:A,"No Found"))</f>
        <v/>
      </c>
      <c r="F345" t="str">
        <f>IF(B345="","",COUNTIF($B$2:B345,B345))</f>
        <v/>
      </c>
    </row>
    <row r="346" spans="1:6">
      <c r="A346" t="str">
        <f>IF(B346="","",_xlfn.XLOOKUP(B346,'All '!B:B,'All '!A:A,"No Found"))</f>
        <v/>
      </c>
      <c r="F346" t="str">
        <f>IF(B346="","",COUNTIF($B$2:B346,B346))</f>
        <v/>
      </c>
    </row>
    <row r="347" spans="1:6">
      <c r="A347" t="str">
        <f>IF(B347="","",_xlfn.XLOOKUP(B347,'All '!B:B,'All '!A:A,"No Found"))</f>
        <v/>
      </c>
      <c r="F347" t="str">
        <f>IF(B347="","",COUNTIF($B$2:B347,B347))</f>
        <v/>
      </c>
    </row>
    <row r="348" spans="1:6">
      <c r="A348" t="str">
        <f>IF(B348="","",_xlfn.XLOOKUP(B348,'All '!B:B,'All '!A:A,"No Found"))</f>
        <v/>
      </c>
      <c r="F348" t="str">
        <f>IF(B348="","",COUNTIF($B$2:B348,B348))</f>
        <v/>
      </c>
    </row>
    <row r="349" spans="1:6">
      <c r="A349" t="str">
        <f>IF(B349="","",_xlfn.XLOOKUP(B349,'All '!B:B,'All '!A:A,"No Found"))</f>
        <v/>
      </c>
      <c r="F349" t="str">
        <f>IF(B349="","",COUNTIF($B$2:B349,B349))</f>
        <v/>
      </c>
    </row>
    <row r="350" spans="1:6">
      <c r="A350" t="str">
        <f>IF(B350="","",_xlfn.XLOOKUP(B350,'All '!B:B,'All '!A:A,"No Found"))</f>
        <v/>
      </c>
      <c r="F350" t="str">
        <f>IF(B350="","",COUNTIF($B$2:B350,B350))</f>
        <v/>
      </c>
    </row>
    <row r="351" spans="1:6">
      <c r="A351" t="str">
        <f>IF(B351="","",_xlfn.XLOOKUP(B351,'All '!B:B,'All '!A:A,"No Found"))</f>
        <v/>
      </c>
      <c r="F351" t="str">
        <f>IF(B351="","",COUNTIF($B$2:B351,B351))</f>
        <v/>
      </c>
    </row>
    <row r="352" spans="1:6">
      <c r="A352" t="str">
        <f>IF(B352="","",_xlfn.XLOOKUP(B352,'All '!B:B,'All '!A:A,"No Found"))</f>
        <v/>
      </c>
      <c r="F352" t="str">
        <f>IF(B352="","",COUNTIF($B$2:B352,B352))</f>
        <v/>
      </c>
    </row>
    <row r="353" spans="1:6">
      <c r="A353" t="str">
        <f>IF(B353="","",_xlfn.XLOOKUP(B353,'All '!B:B,'All '!A:A,"No Found"))</f>
        <v/>
      </c>
      <c r="F353" t="str">
        <f>IF(B353="","",COUNTIF($B$2:B353,B353))</f>
        <v/>
      </c>
    </row>
    <row r="354" spans="1:6">
      <c r="A354" t="str">
        <f>IF(B354="","",_xlfn.XLOOKUP(B354,'All '!B:B,'All '!A:A,"No Found"))</f>
        <v/>
      </c>
      <c r="F354" t="str">
        <f>IF(B354="","",COUNTIF($B$2:B354,B354))</f>
        <v/>
      </c>
    </row>
    <row r="355" spans="1:6">
      <c r="A355" t="str">
        <f>IF(B355="","",_xlfn.XLOOKUP(B355,'All '!B:B,'All '!A:A,"No Found"))</f>
        <v/>
      </c>
      <c r="F355" t="str">
        <f>IF(B355="","",COUNTIF($B$2:B355,B355))</f>
        <v/>
      </c>
    </row>
    <row r="356" spans="1:6">
      <c r="A356" t="str">
        <f>IF(B356="","",_xlfn.XLOOKUP(B356,'All '!B:B,'All '!A:A,"No Found"))</f>
        <v/>
      </c>
      <c r="F356" t="str">
        <f>IF(B356="","",COUNTIF($B$2:B356,B356))</f>
        <v/>
      </c>
    </row>
    <row r="357" spans="1:6">
      <c r="A357" t="str">
        <f>IF(B357="","",_xlfn.XLOOKUP(B357,'All '!B:B,'All '!A:A,"No Found"))</f>
        <v/>
      </c>
      <c r="F357" t="str">
        <f>IF(B357="","",COUNTIF($B$2:B357,B357))</f>
        <v/>
      </c>
    </row>
    <row r="358" spans="1:6">
      <c r="A358" t="str">
        <f>IF(B358="","",_xlfn.XLOOKUP(B358,'All '!B:B,'All '!A:A,"No Found"))</f>
        <v/>
      </c>
      <c r="F358" t="str">
        <f>IF(B358="","",COUNTIF($B$2:B358,B358))</f>
        <v/>
      </c>
    </row>
    <row r="359" spans="1:6">
      <c r="A359" t="str">
        <f>IF(B359="","",_xlfn.XLOOKUP(B359,'All '!B:B,'All '!A:A,"No Found"))</f>
        <v/>
      </c>
      <c r="F359" t="str">
        <f>IF(B359="","",COUNTIF($B$2:B359,B359))</f>
        <v/>
      </c>
    </row>
    <row r="360" spans="1:6">
      <c r="A360" t="str">
        <f>IF(B360="","",_xlfn.XLOOKUP(B360,'All '!B:B,'All '!A:A,"No Found"))</f>
        <v/>
      </c>
      <c r="F360" t="str">
        <f>IF(B360="","",COUNTIF($B$2:B360,B360))</f>
        <v/>
      </c>
    </row>
    <row r="361" spans="1:6">
      <c r="A361" t="str">
        <f>IF(B361="","",_xlfn.XLOOKUP(B361,'All '!B:B,'All '!A:A,"No Found"))</f>
        <v/>
      </c>
      <c r="F361" t="str">
        <f>IF(B361="","",COUNTIF($B$2:B361,B361))</f>
        <v/>
      </c>
    </row>
    <row r="362" spans="1:6">
      <c r="A362" t="str">
        <f>IF(B362="","",_xlfn.XLOOKUP(B362,'All '!B:B,'All '!A:A,"No Found"))</f>
        <v/>
      </c>
      <c r="F362" t="str">
        <f>IF(B362="","",COUNTIF($B$2:B362,B362))</f>
        <v/>
      </c>
    </row>
    <row r="363" spans="1:6">
      <c r="A363" t="str">
        <f>IF(B363="","",_xlfn.XLOOKUP(B363,'All '!B:B,'All '!A:A,"No Found"))</f>
        <v/>
      </c>
      <c r="F363" t="str">
        <f>IF(B363="","",COUNTIF($B$2:B363,B363))</f>
        <v/>
      </c>
    </row>
    <row r="364" spans="1:6">
      <c r="A364" t="str">
        <f>IF(B364="","",_xlfn.XLOOKUP(B364,'All '!B:B,'All '!A:A,"No Found"))</f>
        <v/>
      </c>
      <c r="F364" t="str">
        <f>IF(B364="","",COUNTIF($B$2:B364,B364))</f>
        <v/>
      </c>
    </row>
    <row r="365" spans="1:6">
      <c r="A365" t="str">
        <f>IF(B365="","",_xlfn.XLOOKUP(B365,'All '!B:B,'All '!A:A,"No Found"))</f>
        <v/>
      </c>
      <c r="F365" t="str">
        <f>IF(B365="","",COUNTIF($B$2:B365,B365))</f>
        <v/>
      </c>
    </row>
    <row r="366" spans="1:6">
      <c r="A366" t="str">
        <f>IF(B366="","",_xlfn.XLOOKUP(B366,'All '!B:B,'All '!A:A,"No Found"))</f>
        <v/>
      </c>
      <c r="F366" t="str">
        <f>IF(B366="","",COUNTIF($B$2:B366,B366))</f>
        <v/>
      </c>
    </row>
    <row r="367" spans="1:6">
      <c r="A367" t="str">
        <f>IF(B367="","",_xlfn.XLOOKUP(B367,'All '!B:B,'All '!A:A,"No Found"))</f>
        <v/>
      </c>
      <c r="F367" t="str">
        <f>IF(B367="","",COUNTIF($B$2:B367,B367))</f>
        <v/>
      </c>
    </row>
    <row r="368" spans="1:6">
      <c r="A368" t="str">
        <f>IF(B368="","",_xlfn.XLOOKUP(B368,'All '!B:B,'All '!A:A,"No Found"))</f>
        <v/>
      </c>
      <c r="F368" t="str">
        <f>IF(B368="","",COUNTIF($B$2:B368,B368))</f>
        <v/>
      </c>
    </row>
    <row r="369" spans="1:6">
      <c r="A369" t="str">
        <f>IF(B369="","",_xlfn.XLOOKUP(B369,'All '!B:B,'All '!A:A,"No Found"))</f>
        <v/>
      </c>
      <c r="F369" t="str">
        <f>IF(B369="","",COUNTIF($B$2:B369,B369))</f>
        <v/>
      </c>
    </row>
    <row r="370" spans="1:6">
      <c r="A370" t="str">
        <f>IF(B370="","",_xlfn.XLOOKUP(B370,'All '!B:B,'All '!A:A,"No Found"))</f>
        <v/>
      </c>
      <c r="F370" t="str">
        <f>IF(B370="","",COUNTIF($B$2:B370,B370))</f>
        <v/>
      </c>
    </row>
    <row r="371" spans="1:6">
      <c r="A371" t="str">
        <f>IF(B371="","",_xlfn.XLOOKUP(B371,'All '!B:B,'All '!A:A,"No Found"))</f>
        <v/>
      </c>
      <c r="F371" t="str">
        <f>IF(B371="","",COUNTIF($B$2:B371,B371))</f>
        <v/>
      </c>
    </row>
    <row r="372" spans="1:6">
      <c r="A372" t="str">
        <f>IF(B372="","",_xlfn.XLOOKUP(B372,'All '!B:B,'All '!A:A,"No Found"))</f>
        <v/>
      </c>
      <c r="F372" t="str">
        <f>IF(B372="","",COUNTIF($B$2:B372,B372))</f>
        <v/>
      </c>
    </row>
    <row r="373" spans="1:6">
      <c r="A373" t="str">
        <f>IF(B373="","",_xlfn.XLOOKUP(B373,'All '!B:B,'All '!A:A,"No Found"))</f>
        <v/>
      </c>
      <c r="F373" t="str">
        <f>IF(B373="","",COUNTIF($B$2:B373,B373))</f>
        <v/>
      </c>
    </row>
    <row r="374" spans="1:6">
      <c r="A374" t="str">
        <f>IF(B374="","",_xlfn.XLOOKUP(B374,'All '!B:B,'All '!A:A,"No Found"))</f>
        <v/>
      </c>
      <c r="F374" t="str">
        <f>IF(B374="","",COUNTIF($B$2:B374,B374))</f>
        <v/>
      </c>
    </row>
    <row r="375" spans="1:6">
      <c r="A375" t="str">
        <f>IF(B375="","",_xlfn.XLOOKUP(B375,'All '!B:B,'All '!A:A,"No Found"))</f>
        <v/>
      </c>
      <c r="F375" t="str">
        <f>IF(B375="","",COUNTIF($B$2:B375,B375))</f>
        <v/>
      </c>
    </row>
    <row r="376" spans="1:6">
      <c r="A376" t="str">
        <f>IF(B376="","",_xlfn.XLOOKUP(B376,'All '!B:B,'All '!A:A,"No Found"))</f>
        <v/>
      </c>
      <c r="F376" t="str">
        <f>IF(B376="","",COUNTIF($B$2:B376,B376))</f>
        <v/>
      </c>
    </row>
    <row r="377" spans="1:6">
      <c r="A377" t="str">
        <f>IF(B377="","",_xlfn.XLOOKUP(B377,'All '!B:B,'All '!A:A,"No Found"))</f>
        <v/>
      </c>
      <c r="F377" t="str">
        <f>IF(B377="","",COUNTIF($B$2:B377,B377))</f>
        <v/>
      </c>
    </row>
    <row r="378" spans="1:6">
      <c r="A378" t="str">
        <f>IF(B378="","",_xlfn.XLOOKUP(B378,'All '!B:B,'All '!A:A,"No Found"))</f>
        <v/>
      </c>
      <c r="F378" t="str">
        <f>IF(B378="","",COUNTIF($B$2:B378,B378))</f>
        <v/>
      </c>
    </row>
    <row r="379" spans="1:6">
      <c r="A379" t="str">
        <f>IF(B379="","",_xlfn.XLOOKUP(B379,'All '!B:B,'All '!A:A,"No Found"))</f>
        <v/>
      </c>
      <c r="F379" t="str">
        <f>IF(B379="","",COUNTIF($B$2:B379,B379))</f>
        <v/>
      </c>
    </row>
    <row r="380" spans="1:6">
      <c r="A380" t="str">
        <f>IF(B380="","",_xlfn.XLOOKUP(B380,'All '!B:B,'All '!A:A,"No Found"))</f>
        <v/>
      </c>
      <c r="F380" t="str">
        <f>IF(B380="","",COUNTIF($B$2:B380,B380))</f>
        <v/>
      </c>
    </row>
    <row r="381" spans="1:6">
      <c r="A381" t="str">
        <f>IF(B381="","",_xlfn.XLOOKUP(B381,'All '!B:B,'All '!A:A,"No Found"))</f>
        <v/>
      </c>
      <c r="F381" t="str">
        <f>IF(B381="","",COUNTIF($B$2:B381,B381))</f>
        <v/>
      </c>
    </row>
    <row r="382" spans="1:6">
      <c r="A382" t="str">
        <f>IF(B382="","",_xlfn.XLOOKUP(B382,'All '!B:B,'All '!A:A,"No Found"))</f>
        <v/>
      </c>
      <c r="F382" t="str">
        <f>IF(B382="","",COUNTIF($B$2:B382,B382))</f>
        <v/>
      </c>
    </row>
    <row r="383" spans="1:6">
      <c r="A383" t="str">
        <f>IF(B383="","",_xlfn.XLOOKUP(B383,'All '!B:B,'All '!A:A,"No Found"))</f>
        <v/>
      </c>
      <c r="F383" t="str">
        <f>IF(B383="","",COUNTIF($B$2:B383,B383))</f>
        <v/>
      </c>
    </row>
    <row r="384" spans="1:6">
      <c r="A384" t="str">
        <f>IF(B384="","",_xlfn.XLOOKUP(B384,'All '!B:B,'All '!A:A,"No Found"))</f>
        <v/>
      </c>
      <c r="F384" t="str">
        <f>IF(B384="","",COUNTIF($B$2:B384,B384))</f>
        <v/>
      </c>
    </row>
    <row r="385" spans="1:6">
      <c r="A385" t="str">
        <f>IF(B385="","",_xlfn.XLOOKUP(B385,'All '!B:B,'All '!A:A,"No Found"))</f>
        <v/>
      </c>
      <c r="F385" t="str">
        <f>IF(B385="","",COUNTIF($B$2:B385,B385))</f>
        <v/>
      </c>
    </row>
    <row r="386" spans="1:6">
      <c r="A386" t="str">
        <f>IF(B386="","",_xlfn.XLOOKUP(B386,'All '!B:B,'All '!A:A,"No Found"))</f>
        <v/>
      </c>
      <c r="F386" t="str">
        <f>IF(B386="","",COUNTIF($B$2:B386,B386))</f>
        <v/>
      </c>
    </row>
    <row r="387" spans="1:6">
      <c r="A387" t="str">
        <f>IF(B387="","",_xlfn.XLOOKUP(B387,'All '!B:B,'All '!A:A,"No Found"))</f>
        <v/>
      </c>
      <c r="F387" t="str">
        <f>IF(B387="","",COUNTIF($B$2:B387,B387))</f>
        <v/>
      </c>
    </row>
    <row r="388" spans="1:6">
      <c r="A388" t="str">
        <f>IF(B388="","",_xlfn.XLOOKUP(B388,'All '!B:B,'All '!A:A,"No Found"))</f>
        <v/>
      </c>
      <c r="F388" t="str">
        <f>IF(B388="","",COUNTIF($B$2:B388,B388))</f>
        <v/>
      </c>
    </row>
    <row r="389" spans="1:6">
      <c r="A389" t="str">
        <f>IF(B389="","",_xlfn.XLOOKUP(B389,'All '!B:B,'All '!A:A,"No Found"))</f>
        <v/>
      </c>
      <c r="F389" t="str">
        <f>IF(B389="","",COUNTIF($B$2:B389,B389))</f>
        <v/>
      </c>
    </row>
    <row r="390" spans="1:6">
      <c r="A390" t="str">
        <f>IF(B390="","",_xlfn.XLOOKUP(B390,'All '!B:B,'All '!A:A,"No Found"))</f>
        <v/>
      </c>
      <c r="F390" t="str">
        <f>IF(B390="","",COUNTIF($B$2:B390,B390))</f>
        <v/>
      </c>
    </row>
    <row r="391" spans="1:6">
      <c r="A391" t="str">
        <f>IF(B391="","",_xlfn.XLOOKUP(B391,'All '!B:B,'All '!A:A,"No Found"))</f>
        <v/>
      </c>
      <c r="F391" t="str">
        <f>IF(B391="","",COUNTIF($B$2:B391,B391))</f>
        <v/>
      </c>
    </row>
    <row r="392" spans="1:6">
      <c r="A392" t="str">
        <f>IF(B392="","",_xlfn.XLOOKUP(B392,'All '!B:B,'All '!A:A,"No Found"))</f>
        <v/>
      </c>
      <c r="F392" t="str">
        <f>IF(B392="","",COUNTIF($B$2:B392,B392))</f>
        <v/>
      </c>
    </row>
    <row r="393" spans="1:6">
      <c r="A393" t="str">
        <f>IF(B393="","",_xlfn.XLOOKUP(B393,'All '!B:B,'All '!A:A,"No Found"))</f>
        <v/>
      </c>
      <c r="F393" t="str">
        <f>IF(B393="","",COUNTIF($B$2:B393,B393))</f>
        <v/>
      </c>
    </row>
    <row r="394" spans="1:6">
      <c r="A394" t="str">
        <f>IF(B394="","",_xlfn.XLOOKUP(B394,'All '!B:B,'All '!A:A,"No Found"))</f>
        <v/>
      </c>
      <c r="F394" t="str">
        <f>IF(B394="","",COUNTIF($B$2:B394,B394))</f>
        <v/>
      </c>
    </row>
    <row r="395" spans="1:6">
      <c r="A395" t="str">
        <f>IF(B395="","",_xlfn.XLOOKUP(B395,'All '!B:B,'All '!A:A,"No Found"))</f>
        <v/>
      </c>
      <c r="F395" t="str">
        <f>IF(B395="","",COUNTIF($B$2:B395,B395))</f>
        <v/>
      </c>
    </row>
    <row r="396" spans="1:6">
      <c r="A396" t="str">
        <f>IF(B396="","",_xlfn.XLOOKUP(B396,'All '!B:B,'All '!A:A,"No Found"))</f>
        <v/>
      </c>
      <c r="F396" t="str">
        <f>IF(B396="","",COUNTIF($B$2:B396,B396))</f>
        <v/>
      </c>
    </row>
    <row r="397" spans="1:6">
      <c r="A397" t="str">
        <f>IF(B397="","",_xlfn.XLOOKUP(B397,'All '!B:B,'All '!A:A,"No Found"))</f>
        <v/>
      </c>
      <c r="F397" t="str">
        <f>IF(B397="","",COUNTIF($B$2:B397,B397))</f>
        <v/>
      </c>
    </row>
    <row r="398" spans="1:6">
      <c r="A398" t="str">
        <f>IF(B398="","",_xlfn.XLOOKUP(B398,'All '!B:B,'All '!A:A,"No Found"))</f>
        <v/>
      </c>
      <c r="F398" t="str">
        <f>IF(B398="","",COUNTIF($B$2:B398,B398))</f>
        <v/>
      </c>
    </row>
    <row r="399" spans="1:6">
      <c r="A399" t="str">
        <f>IF(B399="","",_xlfn.XLOOKUP(B399,'All '!B:B,'All '!A:A,"No Found"))</f>
        <v/>
      </c>
      <c r="F399" t="str">
        <f>IF(B399="","",COUNTIF($B$2:B399,B399))</f>
        <v/>
      </c>
    </row>
    <row r="400" spans="1:6">
      <c r="A400" t="str">
        <f>IF(B400="","",_xlfn.XLOOKUP(B400,'All '!B:B,'All '!A:A,"No Found"))</f>
        <v/>
      </c>
      <c r="F400" t="str">
        <f>IF(B400="","",COUNTIF($B$2:B400,B400))</f>
        <v/>
      </c>
    </row>
    <row r="401" spans="1:6">
      <c r="A401" t="str">
        <f>IF(B401="","",_xlfn.XLOOKUP(B401,'All '!B:B,'All '!A:A,"No Found"))</f>
        <v/>
      </c>
      <c r="F401" t="str">
        <f>IF(B401="","",COUNTIF($B$2:B401,B401))</f>
        <v/>
      </c>
    </row>
    <row r="402" spans="1:6">
      <c r="A402" t="str">
        <f>IF(B402="","",_xlfn.XLOOKUP(B402,'All '!B:B,'All '!A:A,"No Found"))</f>
        <v/>
      </c>
      <c r="F402" t="str">
        <f>IF(B402="","",COUNTIF($B$2:B402,B402))</f>
        <v/>
      </c>
    </row>
    <row r="403" spans="1:6">
      <c r="A403" t="str">
        <f>IF(B403="","",_xlfn.XLOOKUP(B403,'All '!B:B,'All '!A:A,"No Found"))</f>
        <v/>
      </c>
      <c r="F403" t="str">
        <f>IF(B403="","",COUNTIF($B$2:B403,B403))</f>
        <v/>
      </c>
    </row>
    <row r="404" spans="1:6">
      <c r="A404" t="str">
        <f>IF(B404="","",_xlfn.XLOOKUP(B404,'All '!B:B,'All '!A:A,"No Found"))</f>
        <v/>
      </c>
      <c r="F404" t="str">
        <f>IF(B404="","",COUNTIF($B$2:B404,B404))</f>
        <v/>
      </c>
    </row>
    <row r="405" spans="1:6">
      <c r="A405" t="str">
        <f>IF(B405="","",_xlfn.XLOOKUP(B405,'All '!B:B,'All '!A:A,"No Found"))</f>
        <v/>
      </c>
      <c r="F405" t="str">
        <f>IF(B405="","",COUNTIF($B$2:B405,B405))</f>
        <v/>
      </c>
    </row>
    <row r="406" spans="1:6">
      <c r="A406" t="str">
        <f>IF(B406="","",_xlfn.XLOOKUP(B406,'All '!B:B,'All '!A:A,"No Found"))</f>
        <v/>
      </c>
      <c r="F406" t="str">
        <f>IF(B406="","",COUNTIF($B$2:B406,B406))</f>
        <v/>
      </c>
    </row>
    <row r="407" spans="1:6">
      <c r="A407" t="str">
        <f>IF(B407="","",_xlfn.XLOOKUP(B407,'All '!B:B,'All '!A:A,"No Found"))</f>
        <v/>
      </c>
      <c r="F407" t="str">
        <f>IF(B407="","",COUNTIF($B$2:B407,B407))</f>
        <v/>
      </c>
    </row>
    <row r="408" spans="1:6">
      <c r="A408" t="str">
        <f>IF(B408="","",_xlfn.XLOOKUP(B408,'All '!B:B,'All '!A:A,"No Found"))</f>
        <v/>
      </c>
      <c r="F408" t="str">
        <f>IF(B408="","",COUNTIF($B$2:B408,B408))</f>
        <v/>
      </c>
    </row>
    <row r="409" spans="1:6">
      <c r="A409" t="str">
        <f>IF(B409="","",_xlfn.XLOOKUP(B409,'All '!B:B,'All '!A:A,"No Found"))</f>
        <v/>
      </c>
      <c r="F409" t="str">
        <f>IF(B409="","",COUNTIF($B$2:B409,B409))</f>
        <v/>
      </c>
    </row>
    <row r="410" spans="1:6">
      <c r="A410" t="str">
        <f>IF(B410="","",_xlfn.XLOOKUP(B410,'All '!B:B,'All '!A:A,"No Found"))</f>
        <v/>
      </c>
      <c r="F410" t="str">
        <f>IF(B410="","",COUNTIF($B$2:B410,B410))</f>
        <v/>
      </c>
    </row>
    <row r="411" spans="1:6">
      <c r="A411" t="str">
        <f>IF(B411="","",_xlfn.XLOOKUP(B411,'All '!B:B,'All '!A:A,"No Found"))</f>
        <v/>
      </c>
      <c r="F411" t="str">
        <f>IF(B411="","",COUNTIF($B$2:B411,B411))</f>
        <v/>
      </c>
    </row>
    <row r="412" spans="1:6">
      <c r="A412" t="str">
        <f>IF(B412="","",_xlfn.XLOOKUP(B412,'All '!B:B,'All '!A:A,"No Found"))</f>
        <v/>
      </c>
      <c r="F412" t="str">
        <f>IF(B412="","",COUNTIF($B$2:B412,B412))</f>
        <v/>
      </c>
    </row>
    <row r="413" spans="1:6">
      <c r="A413" t="str">
        <f>IF(B413="","",_xlfn.XLOOKUP(B413,'All '!B:B,'All '!A:A,"No Found"))</f>
        <v/>
      </c>
      <c r="F413" t="str">
        <f>IF(B413="","",COUNTIF($B$2:B413,B413))</f>
        <v/>
      </c>
    </row>
    <row r="414" spans="1:6">
      <c r="A414" t="str">
        <f>IF(B414="","",_xlfn.XLOOKUP(B414,'All '!B:B,'All '!A:A,"No Found"))</f>
        <v/>
      </c>
      <c r="F414" t="str">
        <f>IF(B414="","",COUNTIF($B$2:B414,B414))</f>
        <v/>
      </c>
    </row>
    <row r="415" spans="1:6">
      <c r="A415" t="str">
        <f>IF(B415="","",_xlfn.XLOOKUP(B415,'All '!B:B,'All '!A:A,"No Found"))</f>
        <v/>
      </c>
      <c r="F415" t="str">
        <f>IF(B415="","",COUNTIF($B$2:B415,B415))</f>
        <v/>
      </c>
    </row>
    <row r="416" spans="1:6">
      <c r="A416" t="str">
        <f>IF(B416="","",_xlfn.XLOOKUP(B416,'All '!B:B,'All '!A:A,"No Found"))</f>
        <v/>
      </c>
      <c r="F416" t="str">
        <f>IF(B416="","",COUNTIF($B$2:B416,B416))</f>
        <v/>
      </c>
    </row>
    <row r="417" spans="1:6">
      <c r="A417" t="str">
        <f>IF(B417="","",_xlfn.XLOOKUP(B417,'All '!B:B,'All '!A:A,"No Found"))</f>
        <v/>
      </c>
      <c r="F417" t="str">
        <f>IF(B417="","",COUNTIF($B$2:B417,B417))</f>
        <v/>
      </c>
    </row>
    <row r="418" spans="1:6">
      <c r="A418" t="str">
        <f>IF(B418="","",_xlfn.XLOOKUP(B418,'All '!B:B,'All '!A:A,"No Found"))</f>
        <v/>
      </c>
      <c r="F418" t="str">
        <f>IF(B418="","",COUNTIF($B$2:B418,B418))</f>
        <v/>
      </c>
    </row>
    <row r="419" spans="1:6">
      <c r="A419" t="str">
        <f>IF(B419="","",_xlfn.XLOOKUP(B419,'All '!B:B,'All '!A:A,"No Found"))</f>
        <v/>
      </c>
      <c r="F419" t="str">
        <f>IF(B419="","",COUNTIF($B$2:B419,B419))</f>
        <v/>
      </c>
    </row>
    <row r="420" spans="1:6">
      <c r="A420" t="str">
        <f>IF(B420="","",_xlfn.XLOOKUP(B420,'All '!B:B,'All '!A:A,"No Found"))</f>
        <v/>
      </c>
      <c r="F420" t="str">
        <f>IF(B420="","",COUNTIF($B$2:B420,B420))</f>
        <v/>
      </c>
    </row>
    <row r="421" spans="1:6">
      <c r="A421" t="str">
        <f>IF(B421="","",_xlfn.XLOOKUP(B421,'All '!B:B,'All '!A:A,"No Found"))</f>
        <v/>
      </c>
      <c r="F421" t="str">
        <f>IF(B421="","",COUNTIF($B$2:B421,B421))</f>
        <v/>
      </c>
    </row>
    <row r="422" spans="1:6">
      <c r="A422" t="str">
        <f>IF(B422="","",_xlfn.XLOOKUP(B422,'All '!B:B,'All '!A:A,"No Found"))</f>
        <v/>
      </c>
      <c r="F422" t="str">
        <f>IF(B422="","",COUNTIF($B$2:B422,B422))</f>
        <v/>
      </c>
    </row>
    <row r="423" spans="1:6">
      <c r="A423" t="str">
        <f>IF(B423="","",_xlfn.XLOOKUP(B423,'All '!B:B,'All '!A:A,"No Found"))</f>
        <v/>
      </c>
      <c r="F423" t="str">
        <f>IF(B423="","",COUNTIF($B$2:B423,B423))</f>
        <v/>
      </c>
    </row>
    <row r="424" spans="1:6">
      <c r="A424" t="str">
        <f>IF(B424="","",_xlfn.XLOOKUP(B424,'All '!B:B,'All '!A:A,"No Found"))</f>
        <v/>
      </c>
      <c r="F424" t="str">
        <f>IF(B424="","",COUNTIF($B$2:B424,B424))</f>
        <v/>
      </c>
    </row>
    <row r="425" spans="1:6">
      <c r="A425" t="str">
        <f>IF(B425="","",_xlfn.XLOOKUP(B425,'All '!B:B,'All '!A:A,"No Found"))</f>
        <v/>
      </c>
      <c r="F425" t="str">
        <f>IF(B425="","",COUNTIF($B$2:B425,B425))</f>
        <v/>
      </c>
    </row>
    <row r="426" spans="1:6">
      <c r="A426" t="str">
        <f>IF(B426="","",_xlfn.XLOOKUP(B426,'All '!B:B,'All '!A:A,"No Found"))</f>
        <v/>
      </c>
      <c r="F426" t="str">
        <f>IF(B426="","",COUNTIF($B$2:B426,B426))</f>
        <v/>
      </c>
    </row>
    <row r="427" spans="1:6">
      <c r="A427" t="str">
        <f>IF(B427="","",_xlfn.XLOOKUP(B427,'All '!B:B,'All '!A:A,"No Found"))</f>
        <v/>
      </c>
      <c r="F427" t="str">
        <f>IF(B427="","",COUNTIF($B$2:B427,B427))</f>
        <v/>
      </c>
    </row>
    <row r="428" spans="1:6">
      <c r="A428" t="str">
        <f>IF(B428="","",_xlfn.XLOOKUP(B428,'All '!B:B,'All '!A:A,"No Found"))</f>
        <v/>
      </c>
      <c r="F428" t="str">
        <f>IF(B428="","",COUNTIF($B$2:B428,B428))</f>
        <v/>
      </c>
    </row>
    <row r="429" spans="1:6">
      <c r="A429" t="str">
        <f>IF(B429="","",_xlfn.XLOOKUP(B429,'All '!B:B,'All '!A:A,"No Found"))</f>
        <v/>
      </c>
      <c r="F429" t="str">
        <f>IF(B429="","",COUNTIF($B$2:B429,B429))</f>
        <v/>
      </c>
    </row>
    <row r="430" spans="1:6">
      <c r="A430" t="str">
        <f>IF(B430="","",_xlfn.XLOOKUP(B430,'All '!B:B,'All '!A:A,"No Found"))</f>
        <v/>
      </c>
      <c r="F430" t="str">
        <f>IF(B430="","",COUNTIF($B$2:B430,B430))</f>
        <v/>
      </c>
    </row>
    <row r="431" spans="1:6">
      <c r="A431" t="str">
        <f>IF(B431="","",_xlfn.XLOOKUP(B431,'All '!B:B,'All '!A:A,"No Found"))</f>
        <v/>
      </c>
      <c r="F431" t="str">
        <f>IF(B431="","",COUNTIF($B$2:B431,B431))</f>
        <v/>
      </c>
    </row>
    <row r="432" spans="1:6">
      <c r="A432" t="str">
        <f>IF(B432="","",_xlfn.XLOOKUP(B432,'All '!B:B,'All '!A:A,"No Found"))</f>
        <v/>
      </c>
      <c r="F432" t="str">
        <f>IF(B432="","",COUNTIF($B$2:B432,B432))</f>
        <v/>
      </c>
    </row>
    <row r="433" spans="1:6">
      <c r="A433" t="str">
        <f>IF(B433="","",_xlfn.XLOOKUP(B433,'All '!B:B,'All '!A:A,"No Found"))</f>
        <v/>
      </c>
      <c r="F433" t="str">
        <f>IF(B433="","",COUNTIF($B$2:B433,B433))</f>
        <v/>
      </c>
    </row>
    <row r="434" spans="1:6">
      <c r="A434" t="str">
        <f>IF(B434="","",_xlfn.XLOOKUP(B434,'All '!B:B,'All '!A:A,"No Found"))</f>
        <v/>
      </c>
      <c r="F434" t="str">
        <f>IF(B434="","",COUNTIF($B$2:B434,B434))</f>
        <v/>
      </c>
    </row>
    <row r="435" spans="1:6">
      <c r="A435" t="str">
        <f>IF(B435="","",_xlfn.XLOOKUP(B435,'All '!B:B,'All '!A:A,"No Found"))</f>
        <v/>
      </c>
      <c r="F435" t="str">
        <f>IF(B435="","",COUNTIF($B$2:B435,B435))</f>
        <v/>
      </c>
    </row>
    <row r="436" spans="1:6">
      <c r="A436" t="str">
        <f>IF(B436="","",_xlfn.XLOOKUP(B436,'All '!B:B,'All '!A:A,"No Found"))</f>
        <v/>
      </c>
      <c r="F436" t="str">
        <f>IF(B436="","",COUNTIF($B$2:B436,B436))</f>
        <v/>
      </c>
    </row>
    <row r="437" spans="1:6">
      <c r="A437" t="str">
        <f>IF(B437="","",_xlfn.XLOOKUP(B437,'All '!B:B,'All '!A:A,"No Found"))</f>
        <v/>
      </c>
      <c r="F437" t="str">
        <f>IF(B437="","",COUNTIF($B$2:B437,B437))</f>
        <v/>
      </c>
    </row>
    <row r="438" spans="1:6">
      <c r="A438" t="str">
        <f>IF(B438="","",_xlfn.XLOOKUP(B438,'All '!B:B,'All '!A:A,"No Found"))</f>
        <v/>
      </c>
      <c r="F438" t="str">
        <f>IF(B438="","",COUNTIF($B$2:B438,B438))</f>
        <v/>
      </c>
    </row>
    <row r="439" spans="1:6">
      <c r="A439" t="str">
        <f>IF(B439="","",_xlfn.XLOOKUP(B439,'All '!B:B,'All '!A:A,"No Found"))</f>
        <v/>
      </c>
      <c r="F439" t="str">
        <f>IF(B439="","",COUNTIF($B$2:B439,B439))</f>
        <v/>
      </c>
    </row>
    <row r="440" spans="1:6">
      <c r="A440" t="str">
        <f>IF(B440="","",_xlfn.XLOOKUP(B440,'All '!B:B,'All '!A:A,"No Found"))</f>
        <v/>
      </c>
      <c r="F440" t="str">
        <f>IF(B440="","",COUNTIF($B$2:B440,B440))</f>
        <v/>
      </c>
    </row>
    <row r="441" spans="1:6">
      <c r="A441" t="str">
        <f>IF(B441="","",_xlfn.XLOOKUP(B441,'All '!B:B,'All '!A:A,"No Found"))</f>
        <v/>
      </c>
      <c r="F441" t="str">
        <f>IF(B441="","",COUNTIF($B$2:B441,B441))</f>
        <v/>
      </c>
    </row>
    <row r="442" spans="1:6">
      <c r="A442" t="str">
        <f>IF(B442="","",_xlfn.XLOOKUP(B442,'All '!B:B,'All '!A:A,"No Found"))</f>
        <v/>
      </c>
      <c r="F442" t="str">
        <f>IF(B442="","",COUNTIF($B$2:B442,B442))</f>
        <v/>
      </c>
    </row>
    <row r="443" spans="1:6">
      <c r="A443" t="str">
        <f>IF(B443="","",_xlfn.XLOOKUP(B443,'All '!B:B,'All '!A:A,"No Found"))</f>
        <v/>
      </c>
      <c r="F443" t="str">
        <f>IF(B443="","",COUNTIF($B$2:B443,B443))</f>
        <v/>
      </c>
    </row>
    <row r="444" spans="1:6">
      <c r="A444" t="str">
        <f>IF(B444="","",_xlfn.XLOOKUP(B444,'All '!B:B,'All '!A:A,"No Found"))</f>
        <v/>
      </c>
      <c r="F444" t="str">
        <f>IF(B444="","",COUNTIF($B$2:B444,B444))</f>
        <v/>
      </c>
    </row>
    <row r="445" spans="1:6">
      <c r="A445" t="str">
        <f>IF(B445="","",_xlfn.XLOOKUP(B445,'All '!B:B,'All '!A:A,"No Found"))</f>
        <v/>
      </c>
      <c r="F445" t="str">
        <f>IF(B445="","",COUNTIF($B$2:B445,B445))</f>
        <v/>
      </c>
    </row>
    <row r="446" spans="1:6">
      <c r="A446" t="str">
        <f>IF(B446="","",_xlfn.XLOOKUP(B446,'All '!B:B,'All '!A:A,"No Found"))</f>
        <v/>
      </c>
      <c r="F446" t="str">
        <f>IF(B446="","",COUNTIF($B$2:B446,B446))</f>
        <v/>
      </c>
    </row>
    <row r="447" spans="1:6">
      <c r="A447" t="str">
        <f>IF(B447="","",_xlfn.XLOOKUP(B447,'All '!B:B,'All '!A:A,"No Found"))</f>
        <v/>
      </c>
      <c r="F447" t="str">
        <f>IF(B447="","",COUNTIF($B$2:B447,B447))</f>
        <v/>
      </c>
    </row>
    <row r="448" spans="1:6">
      <c r="A448" t="str">
        <f>IF(B448="","",_xlfn.XLOOKUP(B448,'All '!B:B,'All '!A:A,"No Found"))</f>
        <v/>
      </c>
      <c r="F448" t="str">
        <f>IF(B448="","",COUNTIF($B$2:B448,B448))</f>
        <v/>
      </c>
    </row>
    <row r="449" spans="1:6">
      <c r="A449" t="str">
        <f>IF(B449="","",_xlfn.XLOOKUP(B449,'All '!B:B,'All '!A:A,"No Found"))</f>
        <v/>
      </c>
      <c r="F449" t="str">
        <f>IF(B449="","",COUNTIF($B$2:B449,B449))</f>
        <v/>
      </c>
    </row>
    <row r="450" spans="1:6">
      <c r="A450" t="str">
        <f>IF(B450="","",_xlfn.XLOOKUP(B450,'All '!B:B,'All '!A:A,"No Found"))</f>
        <v/>
      </c>
      <c r="F450" t="str">
        <f>IF(B450="","",COUNTIF($B$2:B450,B450))</f>
        <v/>
      </c>
    </row>
    <row r="451" spans="1:6">
      <c r="A451" t="str">
        <f>IF(B451="","",_xlfn.XLOOKUP(B451,'All '!B:B,'All '!A:A,"No Found"))</f>
        <v/>
      </c>
      <c r="F451" t="str">
        <f>IF(B451="","",COUNTIF($B$2:B451,B451))</f>
        <v/>
      </c>
    </row>
    <row r="452" spans="1:6">
      <c r="A452" t="str">
        <f>IF(B452="","",_xlfn.XLOOKUP(B452,'All '!B:B,'All '!A:A,"No Found"))</f>
        <v/>
      </c>
      <c r="F452" t="str">
        <f>IF(B452="","",COUNTIF($B$2:B452,B452))</f>
        <v/>
      </c>
    </row>
    <row r="453" spans="1:6">
      <c r="A453" t="str">
        <f>IF(B453="","",_xlfn.XLOOKUP(B453,'All '!B:B,'All '!A:A,"No Found"))</f>
        <v/>
      </c>
      <c r="F453" t="str">
        <f>IF(B453="","",COUNTIF($B$2:B453,B453))</f>
        <v/>
      </c>
    </row>
    <row r="454" spans="1:6">
      <c r="A454" t="str">
        <f>IF(B454="","",_xlfn.XLOOKUP(B454,'All '!B:B,'All '!A:A,"No Found"))</f>
        <v/>
      </c>
      <c r="F454" t="str">
        <f>IF(B454="","",COUNTIF($B$2:B454,B454))</f>
        <v/>
      </c>
    </row>
    <row r="455" spans="1:6">
      <c r="A455" t="str">
        <f>IF(B455="","",_xlfn.XLOOKUP(B455,'All '!B:B,'All '!A:A,"No Found"))</f>
        <v/>
      </c>
      <c r="F455" t="str">
        <f>IF(B455="","",COUNTIF($B$2:B455,B455))</f>
        <v/>
      </c>
    </row>
    <row r="456" spans="1:6">
      <c r="A456" t="str">
        <f>IF(B456="","",_xlfn.XLOOKUP(B456,'All '!B:B,'All '!A:A,"No Found"))</f>
        <v/>
      </c>
      <c r="F456" t="str">
        <f>IF(B456="","",COUNTIF($B$2:B456,B456))</f>
        <v/>
      </c>
    </row>
    <row r="457" spans="1:6">
      <c r="A457" t="str">
        <f>IF(B457="","",_xlfn.XLOOKUP(B457,'All '!B:B,'All '!A:A,"No Found"))</f>
        <v/>
      </c>
      <c r="F457" t="str">
        <f>IF(B457="","",COUNTIF($B$2:B457,B457))</f>
        <v/>
      </c>
    </row>
    <row r="458" spans="1:6">
      <c r="A458" t="str">
        <f>IF(B458="","",_xlfn.XLOOKUP(B458,'All '!B:B,'All '!A:A,"No Found"))</f>
        <v/>
      </c>
      <c r="F458" t="str">
        <f>IF(B458="","",COUNTIF($B$2:B458,B458))</f>
        <v/>
      </c>
    </row>
    <row r="459" spans="1:6">
      <c r="A459" t="str">
        <f>IF(B459="","",_xlfn.XLOOKUP(B459,'All '!B:B,'All '!A:A,"No Found"))</f>
        <v/>
      </c>
      <c r="F459" t="str">
        <f>IF(B459="","",COUNTIF($B$2:B459,B459))</f>
        <v/>
      </c>
    </row>
    <row r="460" spans="1:6">
      <c r="A460" t="str">
        <f>IF(B460="","",_xlfn.XLOOKUP(B460,'All '!B:B,'All '!A:A,"No Found"))</f>
        <v/>
      </c>
      <c r="F460" t="str">
        <f>IF(B460="","",COUNTIF($B$2:B460,B460))</f>
        <v/>
      </c>
    </row>
    <row r="461" spans="1:6">
      <c r="A461" t="str">
        <f>IF(B461="","",_xlfn.XLOOKUP(B461,'All '!B:B,'All '!A:A,"No Found"))</f>
        <v/>
      </c>
      <c r="F461" t="str">
        <f>IF(B461="","",COUNTIF($B$2:B461,B461))</f>
        <v/>
      </c>
    </row>
    <row r="462" spans="1:6">
      <c r="A462" t="str">
        <f>IF(B462="","",_xlfn.XLOOKUP(B462,'All '!B:B,'All '!A:A,"No Found"))</f>
        <v/>
      </c>
      <c r="F462" t="str">
        <f>IF(B462="","",COUNTIF($B$2:B462,B462))</f>
        <v/>
      </c>
    </row>
    <row r="463" spans="1:6">
      <c r="A463" t="str">
        <f>IF(B463="","",_xlfn.XLOOKUP(B463,'All '!B:B,'All '!A:A,"No Found"))</f>
        <v/>
      </c>
      <c r="F463" t="str">
        <f>IF(B463="","",COUNTIF($B$2:B463,B463))</f>
        <v/>
      </c>
    </row>
    <row r="464" spans="1:6">
      <c r="A464" t="str">
        <f>IF(B464="","",_xlfn.XLOOKUP(B464,'All '!B:B,'All '!A:A,"No Found"))</f>
        <v/>
      </c>
      <c r="F464" t="str">
        <f>IF(B464="","",COUNTIF($B$2:B464,B464))</f>
        <v/>
      </c>
    </row>
    <row r="465" spans="1:6">
      <c r="A465" t="str">
        <f>IF(B465="","",_xlfn.XLOOKUP(B465,'All '!B:B,'All '!A:A,"No Found"))</f>
        <v/>
      </c>
      <c r="F465" t="str">
        <f>IF(B465="","",COUNTIF($B$2:B465,B465))</f>
        <v/>
      </c>
    </row>
    <row r="466" spans="1:6">
      <c r="A466" t="str">
        <f>IF(B466="","",_xlfn.XLOOKUP(B466,'All '!B:B,'All '!A:A,"No Found"))</f>
        <v/>
      </c>
      <c r="F466" t="str">
        <f>IF(B466="","",COUNTIF($B$2:B466,B466))</f>
        <v/>
      </c>
    </row>
    <row r="467" spans="1:6">
      <c r="A467" t="str">
        <f>IF(B467="","",_xlfn.XLOOKUP(B467,'All '!B:B,'All '!A:A,"No Found"))</f>
        <v/>
      </c>
      <c r="F467" t="str">
        <f>IF(B467="","",COUNTIF($B$2:B467,B467))</f>
        <v/>
      </c>
    </row>
    <row r="468" spans="1:6">
      <c r="A468" t="str">
        <f>IF(B468="","",_xlfn.XLOOKUP(B468,'All '!B:B,'All '!A:A,"No Found"))</f>
        <v/>
      </c>
      <c r="F468" t="str">
        <f>IF(B468="","",COUNTIF($B$2:B468,B468))</f>
        <v/>
      </c>
    </row>
    <row r="469" spans="1:6">
      <c r="A469" t="str">
        <f>IF(B469="","",_xlfn.XLOOKUP(B469,'All '!B:B,'All '!A:A,"No Found"))</f>
        <v/>
      </c>
      <c r="F469" t="str">
        <f>IF(B469="","",COUNTIF($B$2:B469,B469))</f>
        <v/>
      </c>
    </row>
    <row r="470" spans="1:6">
      <c r="A470" t="str">
        <f>IF(B470="","",_xlfn.XLOOKUP(B470,'All '!B:B,'All '!A:A,"No Found"))</f>
        <v/>
      </c>
      <c r="F470" t="str">
        <f>IF(B470="","",COUNTIF($B$2:B470,B470))</f>
        <v/>
      </c>
    </row>
    <row r="471" spans="1:6">
      <c r="A471" t="str">
        <f>IF(B471="","",_xlfn.XLOOKUP(B471,'All '!B:B,'All '!A:A,"No Found"))</f>
        <v/>
      </c>
      <c r="F471" t="str">
        <f>IF(B471="","",COUNTIF($B$2:B471,B471))</f>
        <v/>
      </c>
    </row>
    <row r="472" spans="1:6">
      <c r="A472" t="str">
        <f>IF(B472="","",_xlfn.XLOOKUP(B472,'All '!B:B,'All '!A:A,"No Found"))</f>
        <v/>
      </c>
      <c r="F472" t="str">
        <f>IF(B472="","",COUNTIF($B$2:B472,B472))</f>
        <v/>
      </c>
    </row>
    <row r="473" spans="1:6">
      <c r="A473" t="str">
        <f>IF(B473="","",_xlfn.XLOOKUP(B473,'All '!B:B,'All '!A:A,"No Found"))</f>
        <v/>
      </c>
      <c r="F473" t="str">
        <f>IF(B473="","",COUNTIF($B$2:B473,B473))</f>
        <v/>
      </c>
    </row>
    <row r="474" spans="1:6">
      <c r="A474" t="str">
        <f>IF(B474="","",_xlfn.XLOOKUP(B474,'All '!B:B,'All '!A:A,"No Found"))</f>
        <v/>
      </c>
      <c r="F474" t="str">
        <f>IF(B474="","",COUNTIF($B$2:B474,B474))</f>
        <v/>
      </c>
    </row>
    <row r="475" spans="1:6">
      <c r="A475" t="str">
        <f>IF(B475="","",_xlfn.XLOOKUP(B475,'All '!B:B,'All '!A:A,"No Found"))</f>
        <v/>
      </c>
      <c r="F475" t="str">
        <f>IF(B475="","",COUNTIF($B$2:B475,B475))</f>
        <v/>
      </c>
    </row>
    <row r="476" spans="1:6">
      <c r="A476" t="str">
        <f>IF(B476="","",_xlfn.XLOOKUP(B476,'All '!B:B,'All '!A:A,"No Found"))</f>
        <v/>
      </c>
      <c r="F476" t="str">
        <f>IF(B476="","",COUNTIF($B$2:B476,B476))</f>
        <v/>
      </c>
    </row>
    <row r="477" spans="1:6">
      <c r="A477" t="str">
        <f>IF(B477="","",_xlfn.XLOOKUP(B477,'All '!B:B,'All '!A:A,"No Found"))</f>
        <v/>
      </c>
      <c r="F477" t="str">
        <f>IF(B477="","",COUNTIF($B$2:B477,B477))</f>
        <v/>
      </c>
    </row>
    <row r="478" spans="1:6">
      <c r="A478" t="str">
        <f>IF(B478="","",_xlfn.XLOOKUP(B478,'All '!B:B,'All '!A:A,"No Found"))</f>
        <v/>
      </c>
      <c r="F478" t="str">
        <f>IF(B478="","",COUNTIF($B$2:B478,B478))</f>
        <v/>
      </c>
    </row>
    <row r="479" spans="1:6">
      <c r="A479" t="str">
        <f>IF(B479="","",_xlfn.XLOOKUP(B479,'All '!B:B,'All '!A:A,"No Found"))</f>
        <v/>
      </c>
      <c r="F479" t="str">
        <f>IF(B479="","",COUNTIF($B$2:B479,B479))</f>
        <v/>
      </c>
    </row>
    <row r="480" spans="1:6">
      <c r="A480" t="str">
        <f>IF(B480="","",_xlfn.XLOOKUP(B480,'All '!B:B,'All '!A:A,"No Found"))</f>
        <v/>
      </c>
      <c r="F480" t="str">
        <f>IF(B480="","",COUNTIF($B$2:B480,B480))</f>
        <v/>
      </c>
    </row>
    <row r="481" spans="1:6">
      <c r="A481" t="str">
        <f>IF(B481="","",_xlfn.XLOOKUP(B481,'All '!B:B,'All '!A:A,"No Found"))</f>
        <v/>
      </c>
      <c r="F481" t="str">
        <f>IF(B481="","",COUNTIF($B$2:B481,B481))</f>
        <v/>
      </c>
    </row>
    <row r="482" spans="1:6">
      <c r="A482" t="str">
        <f>IF(B482="","",_xlfn.XLOOKUP(B482,'All '!B:B,'All '!A:A,"No Found"))</f>
        <v/>
      </c>
      <c r="F482" t="str">
        <f>IF(B482="","",COUNTIF($B$2:B482,B482))</f>
        <v/>
      </c>
    </row>
    <row r="483" spans="1:6">
      <c r="A483" t="str">
        <f>IF(B483="","",_xlfn.XLOOKUP(B483,'All '!B:B,'All '!A:A,"No Found"))</f>
        <v/>
      </c>
      <c r="F483" t="str">
        <f>IF(B483="","",COUNTIF($B$2:B483,B483))</f>
        <v/>
      </c>
    </row>
    <row r="484" spans="1:6">
      <c r="A484" t="str">
        <f>IF(B484="","",_xlfn.XLOOKUP(B484,'All '!B:B,'All '!A:A,"No Found"))</f>
        <v/>
      </c>
      <c r="F484" t="str">
        <f>IF(B484="","",COUNTIF($B$2:B484,B484))</f>
        <v/>
      </c>
    </row>
    <row r="485" spans="1:6">
      <c r="A485" t="str">
        <f>IF(B485="","",_xlfn.XLOOKUP(B485,'All '!B:B,'All '!A:A,"No Found"))</f>
        <v/>
      </c>
      <c r="F485" t="str">
        <f>IF(B485="","",COUNTIF($B$2:B485,B485))</f>
        <v/>
      </c>
    </row>
    <row r="486" spans="1:6">
      <c r="A486" t="str">
        <f>IF(B486="","",_xlfn.XLOOKUP(B486,'All '!B:B,'All '!A:A,"No Found"))</f>
        <v/>
      </c>
      <c r="F486" t="str">
        <f>IF(B486="","",COUNTIF($B$2:B486,B486))</f>
        <v/>
      </c>
    </row>
    <row r="487" spans="1:6">
      <c r="A487" t="str">
        <f>IF(B487="","",_xlfn.XLOOKUP(B487,'All '!B:B,'All '!A:A,"No Found"))</f>
        <v/>
      </c>
      <c r="F487" t="str">
        <f>IF(B487="","",COUNTIF($B$2:B487,B487))</f>
        <v/>
      </c>
    </row>
    <row r="488" spans="1:6">
      <c r="A488" t="str">
        <f>IF(B488="","",_xlfn.XLOOKUP(B488,'All '!B:B,'All '!A:A,"No Found"))</f>
        <v/>
      </c>
      <c r="F488" t="str">
        <f>IF(B488="","",COUNTIF($B$2:B488,B488))</f>
        <v/>
      </c>
    </row>
    <row r="489" spans="1:6">
      <c r="A489" t="str">
        <f>IF(B489="","",_xlfn.XLOOKUP(B489,'All '!B:B,'All '!A:A,"No Found"))</f>
        <v/>
      </c>
      <c r="F489" t="str">
        <f>IF(B489="","",COUNTIF($B$2:B489,B489))</f>
        <v/>
      </c>
    </row>
    <row r="490" spans="1:6">
      <c r="A490" t="str">
        <f>IF(B490="","",_xlfn.XLOOKUP(B490,'All '!B:B,'All '!A:A,"No Found"))</f>
        <v/>
      </c>
      <c r="F490" t="str">
        <f>IF(B490="","",COUNTIF($B$2:B490,B490))</f>
        <v/>
      </c>
    </row>
    <row r="491" spans="1:6">
      <c r="A491" t="str">
        <f>IF(B491="","",_xlfn.XLOOKUP(B491,'All '!B:B,'All '!A:A,"No Found"))</f>
        <v/>
      </c>
      <c r="F491" t="str">
        <f>IF(B491="","",COUNTIF($B$2:B491,B491))</f>
        <v/>
      </c>
    </row>
    <row r="492" spans="1:6">
      <c r="A492" t="str">
        <f>IF(B492="","",_xlfn.XLOOKUP(B492,'All '!B:B,'All '!A:A,"No Found"))</f>
        <v/>
      </c>
      <c r="F492" t="str">
        <f>IF(B492="","",COUNTIF($B$2:B492,B492))</f>
        <v/>
      </c>
    </row>
    <row r="493" spans="1:6">
      <c r="A493" t="str">
        <f>IF(B493="","",_xlfn.XLOOKUP(B493,'All '!B:B,'All '!A:A,"No Found"))</f>
        <v/>
      </c>
      <c r="F493" t="str">
        <f>IF(B493="","",COUNTIF($B$2:B493,B493))</f>
        <v/>
      </c>
    </row>
    <row r="494" spans="1:6">
      <c r="A494" t="str">
        <f>IF(B494="","",_xlfn.XLOOKUP(B494,'All '!B:B,'All '!A:A,"No Found"))</f>
        <v/>
      </c>
      <c r="F494" t="str">
        <f>IF(B494="","",COUNTIF($B$2:B494,B494))</f>
        <v/>
      </c>
    </row>
    <row r="495" spans="1:6">
      <c r="A495" t="str">
        <f>IF(B495="","",_xlfn.XLOOKUP(B495,'All '!B:B,'All '!A:A,"No Found"))</f>
        <v/>
      </c>
      <c r="F495" t="str">
        <f>IF(B495="","",COUNTIF($B$2:B495,B495))</f>
        <v/>
      </c>
    </row>
    <row r="496" spans="1:6">
      <c r="A496" t="str">
        <f>IF(B496="","",_xlfn.XLOOKUP(B496,'All '!B:B,'All '!A:A,"No Found"))</f>
        <v/>
      </c>
      <c r="F496" t="str">
        <f>IF(B496="","",COUNTIF($B$2:B496,B496))</f>
        <v/>
      </c>
    </row>
    <row r="497" spans="1:6">
      <c r="A497" t="str">
        <f>IF(B497="","",_xlfn.XLOOKUP(B497,'All '!B:B,'All '!A:A,"No Found"))</f>
        <v/>
      </c>
      <c r="F497" t="str">
        <f>IF(B497="","",COUNTIF($B$2:B497,B497))</f>
        <v/>
      </c>
    </row>
    <row r="498" spans="1:6">
      <c r="A498" t="str">
        <f>IF(B498="","",_xlfn.XLOOKUP(B498,'All '!B:B,'All '!A:A,"No Found"))</f>
        <v/>
      </c>
      <c r="F498" t="str">
        <f>IF(B498="","",COUNTIF($B$2:B498,B498))</f>
        <v/>
      </c>
    </row>
    <row r="499" spans="1:6">
      <c r="A499" t="str">
        <f>IF(B499="","",_xlfn.XLOOKUP(B499,'All '!B:B,'All '!A:A,"No Found"))</f>
        <v/>
      </c>
      <c r="F499" t="str">
        <f>IF(B499="","",COUNTIF($B$2:B499,B499))</f>
        <v/>
      </c>
    </row>
    <row r="500" spans="1:6">
      <c r="A500" t="str">
        <f>IF(B500="","",_xlfn.XLOOKUP(B500,'All '!B:B,'All '!A:A,"No Found"))</f>
        <v/>
      </c>
      <c r="F500" t="str">
        <f>IF(B500="","",COUNTIF($B$2:B500,B500))</f>
        <v/>
      </c>
    </row>
    <row r="501" spans="1:6">
      <c r="A501" t="str">
        <f>IF(B501="","",_xlfn.XLOOKUP(B501,'All '!B:B,'All '!A:A,"No Found"))</f>
        <v/>
      </c>
      <c r="F501" t="str">
        <f>IF(B501="","",COUNTIF($B$2:B501,B501))</f>
        <v/>
      </c>
    </row>
    <row r="502" spans="1:6">
      <c r="A502" t="str">
        <f>IF(B502="","",_xlfn.XLOOKUP(B502,'All '!B:B,'All '!A:A,"No Found"))</f>
        <v/>
      </c>
      <c r="F502" t="str">
        <f>IF(B502="","",COUNTIF($B$2:B502,B502))</f>
        <v/>
      </c>
    </row>
    <row r="503" spans="1:6">
      <c r="A503" t="str">
        <f>IF(B503="","",_xlfn.XLOOKUP(B503,'All '!B:B,'All '!A:A,"No Found"))</f>
        <v/>
      </c>
      <c r="F503" t="str">
        <f>IF(B503="","",COUNTIF($B$2:B503,B503))</f>
        <v/>
      </c>
    </row>
    <row r="504" spans="1:6">
      <c r="A504" t="str">
        <f>IF(B504="","",_xlfn.XLOOKUP(B504,'All '!B:B,'All '!A:A,"No Found"))</f>
        <v/>
      </c>
      <c r="F504" t="str">
        <f>IF(B504="","",COUNTIF($B$2:B504,B504))</f>
        <v/>
      </c>
    </row>
    <row r="505" spans="1:6">
      <c r="A505" t="str">
        <f>IF(B505="","",_xlfn.XLOOKUP(B505,'All '!B:B,'All '!A:A,"No Found"))</f>
        <v/>
      </c>
      <c r="F505" t="str">
        <f>IF(B505="","",COUNTIF($B$2:B505,B505))</f>
        <v/>
      </c>
    </row>
    <row r="506" spans="1:6">
      <c r="A506" t="str">
        <f>IF(B506="","",_xlfn.XLOOKUP(B506,'All '!B:B,'All '!A:A,"No Found"))</f>
        <v/>
      </c>
      <c r="F506" t="str">
        <f>IF(B506="","",COUNTIF($B$2:B506,B506))</f>
        <v/>
      </c>
    </row>
    <row r="507" spans="1:6">
      <c r="A507" t="str">
        <f>IF(B507="","",_xlfn.XLOOKUP(B507,'All '!B:B,'All '!A:A,"No Found"))</f>
        <v/>
      </c>
      <c r="F507" t="str">
        <f>IF(B507="","",COUNTIF($B$2:B507,B507))</f>
        <v/>
      </c>
    </row>
    <row r="508" spans="1:6">
      <c r="A508" t="str">
        <f>IF(B508="","",_xlfn.XLOOKUP(B508,'All '!B:B,'All '!A:A,"No Found"))</f>
        <v/>
      </c>
      <c r="F508" t="str">
        <f>IF(B508="","",COUNTIF($B$2:B508,B508))</f>
        <v/>
      </c>
    </row>
    <row r="509" spans="1:6">
      <c r="A509" t="str">
        <f>IF(B509="","",_xlfn.XLOOKUP(B509,'All '!B:B,'All '!A:A,"No Found"))</f>
        <v/>
      </c>
      <c r="F509" t="str">
        <f>IF(B509="","",COUNTIF($B$2:B509,B509))</f>
        <v/>
      </c>
    </row>
    <row r="510" spans="1:6">
      <c r="F510" t="str">
        <f>IF(B510="","",COUNTIF($B$2:B510,B510))</f>
        <v/>
      </c>
    </row>
    <row r="511" spans="1:6">
      <c r="F511" t="str">
        <f>IF(B511="","",COUNTIF($B$2:B511,B511))</f>
        <v/>
      </c>
    </row>
    <row r="512" spans="1:6">
      <c r="F512" t="str">
        <f>IF(B512="","",COUNTIF($B$2:B512,B512))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9E0-A56F-4A2F-8A39-B98D6590FE56}">
  <dimension ref="A1:P66"/>
  <sheetViews>
    <sheetView topLeftCell="A13" zoomScaleNormal="60" zoomScaleSheetLayoutView="100" workbookViewId="0">
      <pane xSplit="3" topLeftCell="D7" activePane="topRight" state="frozen"/>
      <selection pane="topRight" activeCell="C1" sqref="C1"/>
      <selection activeCell="A7" sqref="A7"/>
    </sheetView>
  </sheetViews>
  <sheetFormatPr defaultColWidth="8.5703125" defaultRowHeight="15"/>
  <cols>
    <col min="1" max="1" width="8.5703125" style="6"/>
    <col min="2" max="2" width="21.140625" style="6" bestFit="1" customWidth="1"/>
    <col min="3" max="3" width="18.5703125" style="6" bestFit="1" customWidth="1"/>
    <col min="4" max="4" width="14" style="6" customWidth="1"/>
    <col min="5" max="5" width="8.5703125" style="6"/>
    <col min="6" max="6" width="15" style="6" customWidth="1"/>
    <col min="7" max="7" width="8.5703125" style="6"/>
    <col min="8" max="8" width="11.7109375" style="6" customWidth="1"/>
    <col min="9" max="9" width="9.42578125" style="6" customWidth="1"/>
    <col min="10" max="10" width="11.85546875" style="6" customWidth="1"/>
    <col min="11" max="14" width="8.5703125" style="6"/>
    <col min="15" max="15" width="17.42578125" style="6" customWidth="1"/>
    <col min="16" max="16" width="12" style="6" bestFit="1" customWidth="1"/>
    <col min="17" max="16384" width="8.5703125" style="6"/>
  </cols>
  <sheetData>
    <row r="1" spans="1:16">
      <c r="A1" s="29" t="s">
        <v>248</v>
      </c>
      <c r="B1" s="29" t="s">
        <v>2</v>
      </c>
      <c r="C1" s="29" t="s">
        <v>1</v>
      </c>
      <c r="D1" s="14" t="s">
        <v>222</v>
      </c>
      <c r="E1" s="14" t="s">
        <v>223</v>
      </c>
      <c r="F1" s="14" t="s">
        <v>222</v>
      </c>
      <c r="G1" s="14" t="s">
        <v>223</v>
      </c>
      <c r="H1" s="14" t="s">
        <v>222</v>
      </c>
      <c r="I1" s="14" t="s">
        <v>223</v>
      </c>
      <c r="J1" s="14" t="s">
        <v>222</v>
      </c>
      <c r="K1" s="14" t="s">
        <v>223</v>
      </c>
    </row>
    <row r="2" spans="1:16">
      <c r="A2" s="11">
        <v>1</v>
      </c>
      <c r="B2" s="11" t="s">
        <v>13</v>
      </c>
      <c r="C2" s="11" t="s">
        <v>52</v>
      </c>
      <c r="D2" s="7" t="s">
        <v>490</v>
      </c>
      <c r="E2" s="7" t="s">
        <v>491</v>
      </c>
      <c r="F2" s="92" t="s">
        <v>492</v>
      </c>
      <c r="G2" s="6">
        <v>5</v>
      </c>
      <c r="H2" s="21">
        <v>46206</v>
      </c>
      <c r="I2" s="6">
        <v>8</v>
      </c>
      <c r="J2" s="31">
        <v>46232</v>
      </c>
      <c r="K2" s="6">
        <v>8.8000000000000007</v>
      </c>
      <c r="L2" s="27">
        <v>46246</v>
      </c>
      <c r="M2" s="6">
        <v>8</v>
      </c>
    </row>
    <row r="3" spans="1:16">
      <c r="A3" s="11">
        <v>2</v>
      </c>
      <c r="B3" s="11" t="s">
        <v>13</v>
      </c>
      <c r="C3" s="11" t="s">
        <v>493</v>
      </c>
      <c r="D3" s="7" t="s">
        <v>490</v>
      </c>
      <c r="E3" s="7" t="s">
        <v>491</v>
      </c>
      <c r="F3" s="92" t="s">
        <v>492</v>
      </c>
      <c r="G3" s="6" t="s">
        <v>491</v>
      </c>
      <c r="H3" s="21">
        <v>46206</v>
      </c>
      <c r="I3" s="6">
        <v>8</v>
      </c>
      <c r="J3" s="31">
        <v>46232</v>
      </c>
      <c r="K3" s="6">
        <v>7</v>
      </c>
      <c r="L3" s="27">
        <v>46246</v>
      </c>
      <c r="M3" s="6">
        <v>10</v>
      </c>
    </row>
    <row r="4" spans="1:16">
      <c r="A4" s="11">
        <v>3</v>
      </c>
      <c r="B4" s="11" t="s">
        <v>13</v>
      </c>
      <c r="C4" s="11" t="s">
        <v>31</v>
      </c>
      <c r="D4" s="7" t="s">
        <v>490</v>
      </c>
      <c r="E4" s="7">
        <v>6</v>
      </c>
      <c r="F4" s="92" t="s">
        <v>492</v>
      </c>
      <c r="G4" s="6">
        <v>2.5</v>
      </c>
      <c r="H4" s="27">
        <v>46216</v>
      </c>
      <c r="I4" s="6">
        <v>7.5</v>
      </c>
      <c r="J4" s="31">
        <v>46234</v>
      </c>
      <c r="K4" s="6" t="s">
        <v>229</v>
      </c>
    </row>
    <row r="5" spans="1:16">
      <c r="A5" s="11">
        <v>4</v>
      </c>
      <c r="B5" s="11" t="s">
        <v>13</v>
      </c>
      <c r="C5" s="11" t="s">
        <v>494</v>
      </c>
      <c r="D5" s="7" t="s">
        <v>490</v>
      </c>
      <c r="E5" s="7">
        <v>5</v>
      </c>
      <c r="F5" s="92" t="s">
        <v>492</v>
      </c>
      <c r="G5" s="105"/>
      <c r="H5" s="27">
        <v>46218</v>
      </c>
      <c r="I5" s="6" t="s">
        <v>229</v>
      </c>
      <c r="J5" s="31">
        <v>46233</v>
      </c>
      <c r="K5" s="6">
        <v>5</v>
      </c>
    </row>
    <row r="6" spans="1:16">
      <c r="A6" s="11">
        <v>5</v>
      </c>
      <c r="B6" s="11" t="s">
        <v>13</v>
      </c>
      <c r="C6" s="7" t="s">
        <v>60</v>
      </c>
      <c r="D6" s="7" t="s">
        <v>490</v>
      </c>
      <c r="E6" s="7"/>
      <c r="F6" s="92" t="s">
        <v>492</v>
      </c>
      <c r="G6" s="105"/>
      <c r="H6" s="27">
        <v>46223</v>
      </c>
      <c r="I6" s="6" t="s">
        <v>229</v>
      </c>
      <c r="J6" s="31">
        <v>46232</v>
      </c>
      <c r="K6" s="6">
        <v>6.5</v>
      </c>
      <c r="O6" s="7"/>
    </row>
    <row r="7" spans="1:16">
      <c r="A7" s="11">
        <v>6</v>
      </c>
      <c r="B7" s="11" t="s">
        <v>13</v>
      </c>
      <c r="C7" s="7" t="s">
        <v>55</v>
      </c>
      <c r="D7" s="7" t="s">
        <v>490</v>
      </c>
      <c r="E7" s="7"/>
      <c r="F7" s="92" t="s">
        <v>492</v>
      </c>
      <c r="G7" s="105"/>
      <c r="H7" s="27">
        <v>46218</v>
      </c>
      <c r="I7" s="32">
        <v>6</v>
      </c>
      <c r="J7" s="31">
        <v>46233</v>
      </c>
      <c r="K7" s="6">
        <v>7.3</v>
      </c>
      <c r="O7" s="30"/>
    </row>
    <row r="8" spans="1:16">
      <c r="A8" s="11">
        <v>7</v>
      </c>
      <c r="B8" s="11" t="s">
        <v>13</v>
      </c>
      <c r="C8" s="11" t="s">
        <v>34</v>
      </c>
      <c r="D8" s="7" t="s">
        <v>490</v>
      </c>
      <c r="E8" s="7"/>
      <c r="F8" s="92" t="s">
        <v>492</v>
      </c>
      <c r="G8" s="105"/>
      <c r="H8" s="21">
        <v>46212</v>
      </c>
      <c r="I8" s="6">
        <v>5</v>
      </c>
      <c r="J8" s="31">
        <v>46232</v>
      </c>
      <c r="K8" s="6" t="s">
        <v>229</v>
      </c>
      <c r="O8" s="30"/>
      <c r="P8" s="27"/>
    </row>
    <row r="9" spans="1:16">
      <c r="A9" s="11">
        <v>8</v>
      </c>
      <c r="B9" s="11" t="s">
        <v>13</v>
      </c>
      <c r="C9" s="11" t="s">
        <v>39</v>
      </c>
      <c r="D9" s="7" t="s">
        <v>490</v>
      </c>
      <c r="E9" s="7">
        <v>7</v>
      </c>
      <c r="F9" s="92" t="s">
        <v>492</v>
      </c>
      <c r="G9" s="105"/>
      <c r="H9" s="27">
        <v>46218</v>
      </c>
      <c r="I9" s="33">
        <v>5</v>
      </c>
      <c r="J9" s="31">
        <v>46231</v>
      </c>
      <c r="K9" s="7">
        <v>8</v>
      </c>
      <c r="P9" s="27"/>
    </row>
    <row r="10" spans="1:16">
      <c r="A10" s="11">
        <v>9</v>
      </c>
      <c r="B10" s="11" t="s">
        <v>13</v>
      </c>
      <c r="C10" s="11" t="s">
        <v>495</v>
      </c>
      <c r="D10" s="7" t="s">
        <v>490</v>
      </c>
      <c r="E10" s="7">
        <v>6</v>
      </c>
      <c r="F10" s="92" t="s">
        <v>492</v>
      </c>
      <c r="G10" s="6">
        <v>2</v>
      </c>
      <c r="H10" s="105"/>
      <c r="I10" s="105"/>
      <c r="J10" s="31">
        <v>46232</v>
      </c>
      <c r="K10" s="6">
        <v>7.5</v>
      </c>
      <c r="P10" s="27"/>
    </row>
    <row r="11" spans="1:16" s="9" customFormat="1">
      <c r="A11" s="84">
        <v>10</v>
      </c>
      <c r="B11" s="84" t="s">
        <v>13</v>
      </c>
      <c r="C11" s="84" t="s">
        <v>20</v>
      </c>
      <c r="D11" s="12" t="s">
        <v>490</v>
      </c>
      <c r="E11" s="12">
        <v>5</v>
      </c>
      <c r="F11" s="102" t="s">
        <v>492</v>
      </c>
      <c r="G11" s="105"/>
      <c r="H11" s="106"/>
      <c r="I11" s="106"/>
      <c r="J11" s="85"/>
      <c r="P11" s="85"/>
    </row>
    <row r="12" spans="1:16">
      <c r="A12" s="11">
        <v>11</v>
      </c>
      <c r="B12" s="7" t="s">
        <v>64</v>
      </c>
      <c r="C12" s="7" t="s">
        <v>67</v>
      </c>
      <c r="D12" s="7" t="s">
        <v>490</v>
      </c>
      <c r="E12" s="7" t="s">
        <v>491</v>
      </c>
      <c r="F12" s="92" t="s">
        <v>492</v>
      </c>
      <c r="G12" s="105"/>
      <c r="H12" s="27">
        <v>46230</v>
      </c>
      <c r="I12" s="6">
        <v>8</v>
      </c>
      <c r="J12" s="27"/>
      <c r="P12" s="27"/>
    </row>
    <row r="13" spans="1:16" s="9" customFormat="1">
      <c r="A13" s="11">
        <v>12</v>
      </c>
      <c r="B13" s="7" t="s">
        <v>64</v>
      </c>
      <c r="C13" s="7" t="s">
        <v>63</v>
      </c>
      <c r="D13" s="7" t="s">
        <v>490</v>
      </c>
      <c r="E13" s="7" t="s">
        <v>491</v>
      </c>
      <c r="F13" s="92" t="s">
        <v>492</v>
      </c>
      <c r="G13" s="105"/>
      <c r="H13" s="27">
        <v>46230</v>
      </c>
      <c r="I13" s="6">
        <v>7.5</v>
      </c>
      <c r="O13" s="30"/>
      <c r="P13" s="12"/>
    </row>
    <row r="14" spans="1:16">
      <c r="A14" s="11">
        <v>13</v>
      </c>
      <c r="B14" s="7" t="s">
        <v>77</v>
      </c>
      <c r="C14" s="11" t="s">
        <v>12</v>
      </c>
      <c r="D14" s="7" t="s">
        <v>490</v>
      </c>
      <c r="E14" s="7">
        <v>5</v>
      </c>
      <c r="F14" s="92" t="s">
        <v>492</v>
      </c>
      <c r="G14" s="6">
        <v>3</v>
      </c>
      <c r="H14" s="105"/>
      <c r="I14" s="105"/>
      <c r="O14" s="30"/>
    </row>
    <row r="15" spans="1:16">
      <c r="A15" s="11">
        <v>14</v>
      </c>
      <c r="B15" s="7" t="s">
        <v>77</v>
      </c>
      <c r="C15" s="7" t="s">
        <v>496</v>
      </c>
      <c r="D15" s="7" t="s">
        <v>490</v>
      </c>
      <c r="E15" s="7">
        <v>7.5</v>
      </c>
      <c r="F15" s="92" t="s">
        <v>492</v>
      </c>
      <c r="G15" s="105"/>
      <c r="H15" s="27">
        <v>46220</v>
      </c>
      <c r="I15" s="6">
        <v>6.5</v>
      </c>
      <c r="J15" s="21">
        <v>46239</v>
      </c>
    </row>
    <row r="16" spans="1:16">
      <c r="A16" s="11">
        <v>15</v>
      </c>
      <c r="B16" s="7" t="s">
        <v>77</v>
      </c>
      <c r="C16" s="7" t="s">
        <v>497</v>
      </c>
      <c r="D16" s="7" t="s">
        <v>490</v>
      </c>
      <c r="E16" s="7" t="s">
        <v>491</v>
      </c>
      <c r="F16" s="92" t="s">
        <v>492</v>
      </c>
      <c r="G16" s="105"/>
      <c r="H16" s="21">
        <v>46219</v>
      </c>
      <c r="I16" s="6">
        <v>5.5</v>
      </c>
      <c r="J16" s="21"/>
    </row>
    <row r="17" spans="1:15">
      <c r="A17" s="11">
        <v>16</v>
      </c>
      <c r="B17" s="7" t="s">
        <v>77</v>
      </c>
      <c r="C17" s="7" t="s">
        <v>82</v>
      </c>
      <c r="D17" s="7" t="s">
        <v>490</v>
      </c>
      <c r="E17" s="7" t="s">
        <v>491</v>
      </c>
      <c r="F17" s="92" t="s">
        <v>492</v>
      </c>
      <c r="G17" s="105"/>
      <c r="H17" s="105"/>
      <c r="I17" s="105"/>
    </row>
    <row r="18" spans="1:15">
      <c r="A18" s="11">
        <v>17</v>
      </c>
      <c r="B18" s="7" t="s">
        <v>77</v>
      </c>
      <c r="C18" s="7" t="s">
        <v>71</v>
      </c>
      <c r="D18" s="7" t="s">
        <v>490</v>
      </c>
      <c r="E18" s="7">
        <v>7</v>
      </c>
      <c r="F18" s="92" t="s">
        <v>492</v>
      </c>
      <c r="G18" s="105"/>
      <c r="H18" s="27">
        <v>46220</v>
      </c>
      <c r="I18" s="6">
        <v>7.75</v>
      </c>
      <c r="J18" s="21">
        <v>46239</v>
      </c>
    </row>
    <row r="19" spans="1:15">
      <c r="A19" s="11">
        <v>18</v>
      </c>
      <c r="B19" s="7" t="s">
        <v>89</v>
      </c>
      <c r="C19" s="7" t="s">
        <v>88</v>
      </c>
      <c r="D19" s="7" t="s">
        <v>490</v>
      </c>
      <c r="E19" s="7" t="s">
        <v>491</v>
      </c>
      <c r="F19" s="92" t="s">
        <v>492</v>
      </c>
      <c r="G19" s="6">
        <v>7</v>
      </c>
      <c r="H19" s="27">
        <v>46220</v>
      </c>
      <c r="I19" s="6">
        <v>6.5</v>
      </c>
      <c r="J19" s="21">
        <v>46227</v>
      </c>
      <c r="K19" s="6">
        <v>8</v>
      </c>
      <c r="L19" s="21">
        <v>46247</v>
      </c>
      <c r="N19" s="100"/>
    </row>
    <row r="20" spans="1:15">
      <c r="A20" s="11">
        <v>19</v>
      </c>
      <c r="B20" s="11" t="s">
        <v>97</v>
      </c>
      <c r="C20" s="11" t="s">
        <v>96</v>
      </c>
      <c r="D20" s="7" t="s">
        <v>490</v>
      </c>
      <c r="E20" s="7">
        <v>7</v>
      </c>
      <c r="F20" s="92" t="s">
        <v>492</v>
      </c>
      <c r="G20" s="6" t="s">
        <v>498</v>
      </c>
      <c r="H20" s="27">
        <v>46218</v>
      </c>
      <c r="I20">
        <v>7</v>
      </c>
      <c r="O20" s="7"/>
    </row>
    <row r="21" spans="1:15">
      <c r="A21" s="11">
        <v>20</v>
      </c>
      <c r="B21" s="11" t="s">
        <v>97</v>
      </c>
      <c r="C21" s="11" t="s">
        <v>101</v>
      </c>
      <c r="D21" s="7" t="s">
        <v>490</v>
      </c>
      <c r="E21" s="7" t="s">
        <v>491</v>
      </c>
      <c r="F21" s="92" t="s">
        <v>492</v>
      </c>
      <c r="G21" s="6">
        <v>5.5</v>
      </c>
      <c r="H21" s="105"/>
      <c r="I21" s="105"/>
      <c r="O21" s="7"/>
    </row>
    <row r="22" spans="1:15">
      <c r="A22" s="11">
        <v>21</v>
      </c>
      <c r="B22" s="11" t="s">
        <v>97</v>
      </c>
      <c r="C22" s="7" t="s">
        <v>499</v>
      </c>
      <c r="D22" s="7" t="s">
        <v>490</v>
      </c>
      <c r="E22" s="7">
        <v>4</v>
      </c>
      <c r="F22" s="92" t="s">
        <v>492</v>
      </c>
      <c r="G22" s="105"/>
      <c r="H22" s="27">
        <v>46220</v>
      </c>
      <c r="I22" s="6">
        <v>6</v>
      </c>
      <c r="J22" s="21">
        <v>46239</v>
      </c>
      <c r="K22" s="6">
        <v>7</v>
      </c>
      <c r="O22" s="30"/>
    </row>
    <row r="23" spans="1:15" s="101" customFormat="1">
      <c r="A23" s="11">
        <v>22</v>
      </c>
      <c r="B23" s="11" t="s">
        <v>111</v>
      </c>
      <c r="C23" s="11" t="s">
        <v>163</v>
      </c>
      <c r="D23" s="10" t="s">
        <v>490</v>
      </c>
      <c r="E23" s="10">
        <v>3.5</v>
      </c>
      <c r="F23" s="92" t="s">
        <v>492</v>
      </c>
      <c r="G23" s="101">
        <v>8.5</v>
      </c>
      <c r="H23" s="27">
        <v>46219</v>
      </c>
      <c r="I23" s="101" t="s">
        <v>229</v>
      </c>
      <c r="J23" s="27">
        <v>46246</v>
      </c>
      <c r="K23" s="101" t="s">
        <v>229</v>
      </c>
      <c r="O23" s="30"/>
    </row>
    <row r="24" spans="1:15" s="9" customFormat="1">
      <c r="A24" s="84">
        <v>23</v>
      </c>
      <c r="B24" s="84" t="s">
        <v>111</v>
      </c>
      <c r="C24" s="84" t="s">
        <v>165</v>
      </c>
      <c r="D24" s="12" t="s">
        <v>490</v>
      </c>
      <c r="E24" s="12">
        <v>0.5</v>
      </c>
      <c r="F24" s="102" t="s">
        <v>492</v>
      </c>
      <c r="G24" s="105"/>
      <c r="H24" s="105"/>
      <c r="I24" s="105"/>
    </row>
    <row r="25" spans="1:15">
      <c r="A25" s="84">
        <v>24</v>
      </c>
      <c r="B25" s="84" t="s">
        <v>111</v>
      </c>
      <c r="C25" s="84" t="s">
        <v>185</v>
      </c>
      <c r="D25" s="12" t="s">
        <v>490</v>
      </c>
      <c r="E25" s="12" t="s">
        <v>491</v>
      </c>
      <c r="F25" s="102" t="s">
        <v>492</v>
      </c>
      <c r="G25" s="105"/>
      <c r="H25" s="105"/>
      <c r="I25" s="105"/>
      <c r="O25" s="30"/>
    </row>
    <row r="26" spans="1:15" s="9" customFormat="1">
      <c r="A26" s="84">
        <v>25</v>
      </c>
      <c r="B26" s="12" t="s">
        <v>111</v>
      </c>
      <c r="C26" s="12" t="s">
        <v>500</v>
      </c>
      <c r="D26" s="12" t="s">
        <v>490</v>
      </c>
      <c r="E26" s="12" t="s">
        <v>491</v>
      </c>
      <c r="F26" s="102" t="s">
        <v>492</v>
      </c>
      <c r="G26" s="105"/>
      <c r="H26" s="85">
        <v>46212</v>
      </c>
    </row>
    <row r="27" spans="1:15">
      <c r="A27" s="11">
        <v>26</v>
      </c>
      <c r="B27" s="7" t="s">
        <v>111</v>
      </c>
      <c r="C27" s="7" t="s">
        <v>144</v>
      </c>
      <c r="D27" s="7" t="s">
        <v>490</v>
      </c>
      <c r="E27" s="7" t="s">
        <v>498</v>
      </c>
      <c r="F27" s="92" t="s">
        <v>492</v>
      </c>
      <c r="G27" s="6">
        <v>6.75</v>
      </c>
      <c r="H27" s="27">
        <v>46219</v>
      </c>
      <c r="I27" s="32">
        <v>4</v>
      </c>
      <c r="J27" s="27">
        <v>46245</v>
      </c>
      <c r="K27" s="6">
        <v>1.5</v>
      </c>
    </row>
    <row r="28" spans="1:15">
      <c r="A28" s="11">
        <v>27</v>
      </c>
      <c r="B28" s="84" t="s">
        <v>111</v>
      </c>
      <c r="C28" s="84" t="s">
        <v>160</v>
      </c>
      <c r="D28" s="12" t="s">
        <v>490</v>
      </c>
      <c r="E28" s="12" t="s">
        <v>498</v>
      </c>
      <c r="F28" s="102" t="s">
        <v>492</v>
      </c>
      <c r="G28" s="105"/>
      <c r="H28" s="85">
        <v>46216</v>
      </c>
      <c r="I28" s="9"/>
    </row>
    <row r="29" spans="1:15">
      <c r="A29" s="11">
        <v>28</v>
      </c>
      <c r="B29" s="11" t="s">
        <v>111</v>
      </c>
      <c r="C29" s="11" t="s">
        <v>171</v>
      </c>
      <c r="D29" s="7" t="s">
        <v>490</v>
      </c>
      <c r="E29" s="7">
        <v>7.5</v>
      </c>
      <c r="F29" s="92" t="s">
        <v>492</v>
      </c>
      <c r="G29" s="105"/>
      <c r="H29" s="27">
        <v>46218</v>
      </c>
      <c r="I29">
        <v>8</v>
      </c>
      <c r="J29" s="21">
        <v>46239</v>
      </c>
      <c r="K29" s="6" t="s">
        <v>229</v>
      </c>
    </row>
    <row r="30" spans="1:15">
      <c r="A30" s="11">
        <v>29</v>
      </c>
      <c r="B30" s="11" t="s">
        <v>111</v>
      </c>
      <c r="C30" s="11" t="s">
        <v>174</v>
      </c>
      <c r="D30" s="7" t="s">
        <v>490</v>
      </c>
      <c r="E30" s="7">
        <v>4</v>
      </c>
      <c r="F30" s="92" t="s">
        <v>492</v>
      </c>
      <c r="G30" s="105"/>
      <c r="H30" s="27">
        <v>46218</v>
      </c>
      <c r="I30" s="8" t="s">
        <v>229</v>
      </c>
      <c r="J30" s="27">
        <v>46245</v>
      </c>
      <c r="K30" s="6">
        <v>7</v>
      </c>
    </row>
    <row r="31" spans="1:15">
      <c r="A31" s="84">
        <v>30</v>
      </c>
      <c r="B31" s="84" t="s">
        <v>111</v>
      </c>
      <c r="C31" s="84" t="s">
        <v>182</v>
      </c>
      <c r="D31" s="12" t="s">
        <v>490</v>
      </c>
      <c r="E31" s="12">
        <v>7</v>
      </c>
      <c r="F31" s="102" t="s">
        <v>492</v>
      </c>
      <c r="G31" s="9">
        <v>3</v>
      </c>
      <c r="H31" s="105"/>
      <c r="I31" s="105"/>
    </row>
    <row r="32" spans="1:15">
      <c r="A32" s="84">
        <v>31</v>
      </c>
      <c r="B32" s="12" t="s">
        <v>111</v>
      </c>
      <c r="C32" s="12" t="s">
        <v>501</v>
      </c>
      <c r="D32" s="12" t="s">
        <v>490</v>
      </c>
      <c r="E32" s="12" t="s">
        <v>491</v>
      </c>
      <c r="F32" s="102" t="s">
        <v>492</v>
      </c>
      <c r="G32" s="6" t="s">
        <v>491</v>
      </c>
      <c r="H32" s="105"/>
      <c r="I32" s="105"/>
    </row>
    <row r="33" spans="1:15" s="9" customFormat="1">
      <c r="A33" s="84">
        <v>32</v>
      </c>
      <c r="B33" s="84" t="s">
        <v>111</v>
      </c>
      <c r="C33" s="84" t="s">
        <v>110</v>
      </c>
      <c r="D33" s="12" t="s">
        <v>490</v>
      </c>
      <c r="E33" s="12" t="s">
        <v>491</v>
      </c>
      <c r="F33" s="102" t="s">
        <v>492</v>
      </c>
      <c r="G33" s="9">
        <v>8</v>
      </c>
      <c r="H33" s="85">
        <v>46221</v>
      </c>
    </row>
    <row r="34" spans="1:15">
      <c r="A34" s="11">
        <v>33</v>
      </c>
      <c r="B34" s="11" t="s">
        <v>111</v>
      </c>
      <c r="C34" s="11" t="s">
        <v>125</v>
      </c>
      <c r="D34" s="7" t="s">
        <v>490</v>
      </c>
      <c r="E34" s="7">
        <v>4</v>
      </c>
      <c r="F34" s="92" t="s">
        <v>492</v>
      </c>
      <c r="G34" s="105"/>
      <c r="H34" s="105"/>
      <c r="I34" s="105"/>
      <c r="J34" s="27">
        <v>46245</v>
      </c>
      <c r="K34" s="6">
        <v>7</v>
      </c>
    </row>
    <row r="35" spans="1:15">
      <c r="A35" s="11">
        <v>34</v>
      </c>
      <c r="B35" s="11" t="s">
        <v>111</v>
      </c>
      <c r="C35" s="11" t="s">
        <v>133</v>
      </c>
      <c r="D35" s="7" t="s">
        <v>490</v>
      </c>
      <c r="E35" s="7">
        <v>8</v>
      </c>
      <c r="F35" s="92" t="s">
        <v>492</v>
      </c>
      <c r="G35" s="105"/>
      <c r="H35" s="27">
        <v>46238</v>
      </c>
      <c r="I35" s="6">
        <v>6.5</v>
      </c>
      <c r="J35" s="27">
        <v>46246</v>
      </c>
      <c r="K35" s="6">
        <v>8</v>
      </c>
    </row>
    <row r="36" spans="1:15">
      <c r="A36" s="11">
        <v>35</v>
      </c>
      <c r="B36" s="11" t="s">
        <v>111</v>
      </c>
      <c r="C36" s="11" t="s">
        <v>154</v>
      </c>
      <c r="D36" s="7" t="s">
        <v>490</v>
      </c>
      <c r="E36" s="7">
        <v>4</v>
      </c>
      <c r="F36" s="92" t="s">
        <v>492</v>
      </c>
      <c r="G36" s="6">
        <v>7</v>
      </c>
      <c r="H36" s="27">
        <v>46231</v>
      </c>
      <c r="I36" s="6">
        <v>7.5</v>
      </c>
      <c r="O36" s="30"/>
    </row>
    <row r="37" spans="1:15">
      <c r="A37" s="11">
        <v>36</v>
      </c>
      <c r="B37" s="11" t="s">
        <v>111</v>
      </c>
      <c r="C37" s="11" t="s">
        <v>150</v>
      </c>
      <c r="D37" s="7" t="s">
        <v>490</v>
      </c>
      <c r="E37" s="7" t="s">
        <v>498</v>
      </c>
      <c r="F37" s="92" t="s">
        <v>492</v>
      </c>
      <c r="G37" s="6">
        <v>4.5</v>
      </c>
      <c r="H37" s="21">
        <v>46224</v>
      </c>
      <c r="I37" s="6">
        <v>4</v>
      </c>
    </row>
    <row r="38" spans="1:15">
      <c r="A38" s="11">
        <v>37</v>
      </c>
      <c r="B38" s="11" t="s">
        <v>111</v>
      </c>
      <c r="C38" s="11" t="s">
        <v>119</v>
      </c>
      <c r="D38" s="7" t="s">
        <v>490</v>
      </c>
      <c r="E38" s="7">
        <v>6</v>
      </c>
      <c r="F38" s="92" t="s">
        <v>492</v>
      </c>
      <c r="G38" s="6">
        <v>5</v>
      </c>
      <c r="H38" s="21">
        <v>46211</v>
      </c>
      <c r="I38" s="6">
        <v>7</v>
      </c>
      <c r="J38" s="21">
        <v>46225</v>
      </c>
      <c r="K38" s="6">
        <v>8</v>
      </c>
    </row>
    <row r="39" spans="1:15" s="9" customFormat="1">
      <c r="A39" s="84">
        <v>38</v>
      </c>
      <c r="B39" s="84" t="s">
        <v>111</v>
      </c>
      <c r="C39" s="84" t="s">
        <v>122</v>
      </c>
      <c r="D39" s="12" t="s">
        <v>490</v>
      </c>
      <c r="E39" s="12" t="s">
        <v>491</v>
      </c>
      <c r="F39" s="102" t="s">
        <v>492</v>
      </c>
      <c r="G39" s="105"/>
      <c r="H39" s="85">
        <v>46231</v>
      </c>
      <c r="O39" s="83"/>
    </row>
    <row r="40" spans="1:15">
      <c r="A40" s="11">
        <v>39</v>
      </c>
      <c r="B40" s="11" t="s">
        <v>111</v>
      </c>
      <c r="C40" s="11" t="s">
        <v>130</v>
      </c>
      <c r="D40" s="7" t="s">
        <v>490</v>
      </c>
      <c r="E40" s="7">
        <v>3</v>
      </c>
      <c r="F40" s="92" t="s">
        <v>492</v>
      </c>
      <c r="G40" s="105"/>
      <c r="H40" s="21">
        <v>46238</v>
      </c>
      <c r="I40" s="6">
        <v>6</v>
      </c>
      <c r="O40" s="30"/>
    </row>
    <row r="41" spans="1:15">
      <c r="A41" s="11">
        <v>40</v>
      </c>
      <c r="B41" s="11" t="s">
        <v>111</v>
      </c>
      <c r="C41" s="11" t="s">
        <v>116</v>
      </c>
      <c r="D41" s="7" t="s">
        <v>490</v>
      </c>
      <c r="E41" s="7">
        <v>3</v>
      </c>
      <c r="F41" s="92" t="s">
        <v>492</v>
      </c>
      <c r="G41" s="105"/>
      <c r="H41" s="27">
        <v>46230</v>
      </c>
      <c r="I41" s="6">
        <v>7</v>
      </c>
      <c r="O41" s="30"/>
    </row>
    <row r="42" spans="1:15">
      <c r="A42" s="11">
        <v>41</v>
      </c>
      <c r="B42" s="11" t="s">
        <v>111</v>
      </c>
      <c r="C42" s="11" t="s">
        <v>502</v>
      </c>
      <c r="D42" s="7" t="s">
        <v>490</v>
      </c>
      <c r="E42" s="7">
        <v>5</v>
      </c>
      <c r="F42" s="92" t="s">
        <v>492</v>
      </c>
      <c r="G42" s="105"/>
      <c r="H42" s="105"/>
      <c r="I42" s="105"/>
      <c r="O42" s="30"/>
    </row>
    <row r="43" spans="1:15">
      <c r="A43" s="11">
        <v>42</v>
      </c>
      <c r="B43" s="11" t="s">
        <v>111</v>
      </c>
      <c r="C43" s="11" t="s">
        <v>157</v>
      </c>
      <c r="D43" s="7" t="s">
        <v>490</v>
      </c>
      <c r="E43" s="7">
        <v>5</v>
      </c>
      <c r="F43" s="92" t="s">
        <v>492</v>
      </c>
      <c r="G43" s="6">
        <v>5</v>
      </c>
      <c r="H43" s="27">
        <v>46231</v>
      </c>
      <c r="I43" s="7">
        <v>6</v>
      </c>
      <c r="J43" s="27">
        <v>46231</v>
      </c>
      <c r="K43" s="33">
        <v>3</v>
      </c>
      <c r="O43" s="30"/>
    </row>
    <row r="44" spans="1:15">
      <c r="A44" s="11">
        <v>43</v>
      </c>
      <c r="B44" s="11" t="s">
        <v>111</v>
      </c>
      <c r="C44" s="11"/>
      <c r="D44" s="7" t="s">
        <v>490</v>
      </c>
      <c r="E44" s="7" t="s">
        <v>491</v>
      </c>
      <c r="F44" s="92" t="s">
        <v>492</v>
      </c>
      <c r="G44" s="105"/>
      <c r="H44" s="31">
        <v>46221</v>
      </c>
    </row>
    <row r="45" spans="1:15">
      <c r="A45" s="11">
        <v>44</v>
      </c>
      <c r="B45" s="7" t="s">
        <v>111</v>
      </c>
      <c r="C45" s="7" t="s">
        <v>141</v>
      </c>
      <c r="D45" s="7" t="s">
        <v>490</v>
      </c>
      <c r="E45" s="7">
        <v>4.5</v>
      </c>
      <c r="F45" s="92" t="s">
        <v>492</v>
      </c>
      <c r="G45" s="6">
        <v>7.5</v>
      </c>
      <c r="H45" s="105"/>
      <c r="I45" s="105"/>
      <c r="J45" s="27">
        <v>46245</v>
      </c>
      <c r="K45" s="6">
        <v>4</v>
      </c>
    </row>
    <row r="46" spans="1:15">
      <c r="A46" s="11">
        <v>45</v>
      </c>
      <c r="B46" s="7" t="s">
        <v>111</v>
      </c>
      <c r="C46" s="7" t="s">
        <v>137</v>
      </c>
      <c r="D46" s="7" t="s">
        <v>490</v>
      </c>
      <c r="E46" s="7" t="s">
        <v>491</v>
      </c>
      <c r="F46" s="92" t="s">
        <v>492</v>
      </c>
      <c r="G46" s="6">
        <v>5</v>
      </c>
      <c r="H46" s="31">
        <v>46216</v>
      </c>
    </row>
    <row r="47" spans="1:15">
      <c r="A47" s="11">
        <v>46</v>
      </c>
      <c r="B47" s="11" t="s">
        <v>111</v>
      </c>
      <c r="C47" s="11" t="s">
        <v>177</v>
      </c>
      <c r="D47" s="7" t="s">
        <v>490</v>
      </c>
      <c r="E47" s="7">
        <v>5</v>
      </c>
      <c r="F47" s="92" t="s">
        <v>492</v>
      </c>
      <c r="G47" s="6">
        <v>9.5</v>
      </c>
      <c r="H47" s="27">
        <v>46218</v>
      </c>
      <c r="I47" s="7">
        <v>6</v>
      </c>
      <c r="J47" s="21">
        <v>46239</v>
      </c>
      <c r="K47" s="6">
        <v>7</v>
      </c>
    </row>
    <row r="48" spans="1:15">
      <c r="A48" s="11">
        <v>47</v>
      </c>
      <c r="B48" s="11" t="s">
        <v>111</v>
      </c>
      <c r="C48" s="11" t="s">
        <v>503</v>
      </c>
      <c r="D48" s="7" t="s">
        <v>490</v>
      </c>
      <c r="E48" s="7" t="s">
        <v>491</v>
      </c>
      <c r="F48" s="92" t="s">
        <v>492</v>
      </c>
      <c r="G48" s="105"/>
      <c r="H48" s="105"/>
      <c r="I48" s="105"/>
    </row>
    <row r="49" spans="1:16">
      <c r="A49" s="11">
        <v>48</v>
      </c>
      <c r="B49" s="11" t="s">
        <v>204</v>
      </c>
      <c r="C49" s="11" t="s">
        <v>504</v>
      </c>
      <c r="D49" s="7" t="s">
        <v>490</v>
      </c>
      <c r="E49" s="7">
        <v>2.2999999999999998</v>
      </c>
      <c r="F49" s="92" t="s">
        <v>492</v>
      </c>
      <c r="G49" s="6">
        <v>5</v>
      </c>
      <c r="H49" s="21">
        <v>46213</v>
      </c>
      <c r="I49" s="6">
        <v>7</v>
      </c>
    </row>
    <row r="50" spans="1:16">
      <c r="A50" s="11">
        <v>49</v>
      </c>
      <c r="B50" s="11" t="s">
        <v>204</v>
      </c>
      <c r="C50" s="11" t="s">
        <v>214</v>
      </c>
      <c r="D50" s="7" t="s">
        <v>490</v>
      </c>
      <c r="E50" s="7">
        <v>4</v>
      </c>
      <c r="F50" s="92" t="s">
        <v>492</v>
      </c>
      <c r="G50" s="6">
        <v>4.5</v>
      </c>
      <c r="H50" s="21">
        <v>46213</v>
      </c>
      <c r="I50" s="6">
        <v>8.5</v>
      </c>
    </row>
    <row r="51" spans="1:16">
      <c r="A51" s="11">
        <v>50</v>
      </c>
      <c r="B51" s="11" t="s">
        <v>204</v>
      </c>
      <c r="C51" s="11" t="s">
        <v>203</v>
      </c>
      <c r="D51" s="7" t="s">
        <v>490</v>
      </c>
      <c r="E51" s="7">
        <v>7</v>
      </c>
      <c r="F51" s="92" t="s">
        <v>492</v>
      </c>
      <c r="G51" s="6">
        <v>7.5</v>
      </c>
      <c r="H51" s="105"/>
      <c r="I51" s="105"/>
    </row>
    <row r="52" spans="1:16">
      <c r="A52" s="11">
        <v>51</v>
      </c>
      <c r="B52" s="7" t="s">
        <v>204</v>
      </c>
      <c r="C52" s="7" t="s">
        <v>219</v>
      </c>
      <c r="D52" s="7" t="s">
        <v>490</v>
      </c>
      <c r="E52" s="7" t="s">
        <v>491</v>
      </c>
      <c r="F52" s="92" t="s">
        <v>492</v>
      </c>
      <c r="G52" s="105"/>
      <c r="H52" s="21">
        <v>46212</v>
      </c>
      <c r="I52" s="6">
        <v>7</v>
      </c>
      <c r="P52" s="8"/>
    </row>
    <row r="53" spans="1:16">
      <c r="A53" s="11">
        <v>52</v>
      </c>
      <c r="B53" s="11" t="s">
        <v>204</v>
      </c>
      <c r="C53" s="11" t="s">
        <v>211</v>
      </c>
      <c r="D53" s="7" t="s">
        <v>490</v>
      </c>
      <c r="E53" s="7">
        <v>1.3</v>
      </c>
      <c r="F53" s="92" t="s">
        <v>492</v>
      </c>
      <c r="G53" s="105"/>
      <c r="H53" s="21">
        <v>46213</v>
      </c>
      <c r="I53" s="6">
        <v>7</v>
      </c>
      <c r="O53" s="30"/>
      <c r="P53" s="8"/>
    </row>
    <row r="54" spans="1:16">
      <c r="A54" s="11">
        <v>53</v>
      </c>
      <c r="B54" s="11" t="s">
        <v>204</v>
      </c>
      <c r="C54" s="11" t="s">
        <v>217</v>
      </c>
      <c r="D54" s="7" t="s">
        <v>490</v>
      </c>
      <c r="E54" s="7" t="s">
        <v>491</v>
      </c>
      <c r="F54" s="92" t="s">
        <v>492</v>
      </c>
      <c r="G54" s="6">
        <v>3</v>
      </c>
      <c r="H54" s="105"/>
      <c r="I54" s="105"/>
      <c r="O54" s="30"/>
      <c r="P54" s="8"/>
    </row>
    <row r="55" spans="1:16">
      <c r="A55" s="11">
        <v>54</v>
      </c>
      <c r="B55" s="7" t="s">
        <v>89</v>
      </c>
      <c r="C55" s="7" t="s">
        <v>93</v>
      </c>
      <c r="D55" s="31">
        <v>46226</v>
      </c>
      <c r="E55" s="7" t="s">
        <v>229</v>
      </c>
      <c r="F55" s="31">
        <v>46238</v>
      </c>
      <c r="G55" s="9">
        <v>6</v>
      </c>
      <c r="H55" s="105"/>
      <c r="I55" s="105"/>
      <c r="J55" s="21">
        <v>46245</v>
      </c>
      <c r="K55" s="6">
        <v>7</v>
      </c>
      <c r="P55" s="8"/>
    </row>
    <row r="56" spans="1:16">
      <c r="A56" s="7">
        <v>55</v>
      </c>
      <c r="B56" s="7" t="s">
        <v>111</v>
      </c>
      <c r="C56" s="103" t="s">
        <v>199</v>
      </c>
      <c r="D56" s="105"/>
      <c r="E56" s="105"/>
      <c r="F56" s="31">
        <v>46227</v>
      </c>
      <c r="G56" s="6">
        <v>7</v>
      </c>
      <c r="H56" s="105"/>
      <c r="I56" s="105"/>
      <c r="O56" s="7"/>
      <c r="P56" s="8"/>
    </row>
    <row r="57" spans="1:16">
      <c r="A57" s="7">
        <v>56</v>
      </c>
      <c r="B57" s="72" t="s">
        <v>89</v>
      </c>
      <c r="C57" s="92" t="s">
        <v>371</v>
      </c>
      <c r="D57" s="105"/>
      <c r="E57" s="105"/>
      <c r="F57" s="31">
        <v>46238</v>
      </c>
      <c r="G57" s="105"/>
      <c r="H57" s="105"/>
      <c r="I57" s="105"/>
      <c r="O57" s="4"/>
      <c r="P57" s="8"/>
    </row>
    <row r="58" spans="1:16">
      <c r="A58" s="7">
        <v>57</v>
      </c>
      <c r="B58" s="72" t="s">
        <v>111</v>
      </c>
      <c r="C58" s="92" t="s">
        <v>372</v>
      </c>
      <c r="D58" s="105"/>
      <c r="E58" s="105"/>
      <c r="F58" s="31">
        <v>46238</v>
      </c>
      <c r="G58" s="105"/>
      <c r="H58" s="105"/>
      <c r="I58" s="105"/>
      <c r="J58" s="27">
        <v>46245</v>
      </c>
      <c r="K58" s="6">
        <v>7.5</v>
      </c>
      <c r="O58" s="58"/>
      <c r="P58" s="8"/>
    </row>
    <row r="59" spans="1:16">
      <c r="A59" s="7">
        <v>58</v>
      </c>
      <c r="B59" s="72" t="s">
        <v>89</v>
      </c>
      <c r="C59" s="92" t="s">
        <v>373</v>
      </c>
      <c r="D59" s="105"/>
      <c r="E59" s="105"/>
      <c r="F59" s="7"/>
      <c r="G59" s="105"/>
      <c r="H59" s="105"/>
      <c r="I59" s="105"/>
      <c r="J59" s="27">
        <v>46246</v>
      </c>
      <c r="K59" s="6">
        <v>7</v>
      </c>
    </row>
    <row r="60" spans="1:16">
      <c r="A60" s="7">
        <v>59</v>
      </c>
      <c r="B60" s="7" t="s">
        <v>479</v>
      </c>
      <c r="C60" s="104" t="s">
        <v>478</v>
      </c>
      <c r="D60" s="105"/>
      <c r="E60" s="105"/>
      <c r="F60" s="31">
        <v>46238</v>
      </c>
      <c r="G60" s="105"/>
      <c r="H60" s="105"/>
      <c r="I60" s="105"/>
      <c r="J60" s="27">
        <v>46245</v>
      </c>
      <c r="K60" s="6">
        <v>7</v>
      </c>
    </row>
    <row r="61" spans="1:16">
      <c r="A61" s="7">
        <v>60</v>
      </c>
      <c r="B61" s="7" t="s">
        <v>479</v>
      </c>
      <c r="C61" s="7" t="s">
        <v>481</v>
      </c>
      <c r="D61" s="105"/>
      <c r="E61" s="105"/>
      <c r="F61" s="7"/>
      <c r="G61" s="105"/>
      <c r="H61" s="105"/>
      <c r="I61" s="105"/>
    </row>
    <row r="62" spans="1:16">
      <c r="A62" s="7">
        <v>61</v>
      </c>
      <c r="B62" s="7" t="s">
        <v>13</v>
      </c>
      <c r="C62" s="7" t="s">
        <v>364</v>
      </c>
      <c r="D62" s="105"/>
      <c r="E62" s="105"/>
      <c r="F62" s="7"/>
      <c r="G62" s="105"/>
      <c r="H62" s="105"/>
      <c r="I62" s="105"/>
    </row>
    <row r="63" spans="1:16">
      <c r="A63" s="7">
        <v>62</v>
      </c>
      <c r="B63" s="7" t="s">
        <v>13</v>
      </c>
      <c r="C63" s="7" t="s">
        <v>482</v>
      </c>
      <c r="D63" s="105"/>
      <c r="E63" s="105"/>
      <c r="F63" s="7"/>
      <c r="G63" s="105"/>
      <c r="H63" s="105"/>
      <c r="I63" s="105"/>
    </row>
    <row r="64" spans="1:16">
      <c r="A64" s="7">
        <v>63</v>
      </c>
      <c r="B64" s="7" t="s">
        <v>89</v>
      </c>
      <c r="C64" s="7" t="s">
        <v>483</v>
      </c>
      <c r="D64" s="105"/>
      <c r="E64" s="105"/>
      <c r="F64" s="7"/>
      <c r="G64" s="105"/>
      <c r="H64" s="105"/>
      <c r="I64" s="105"/>
    </row>
    <row r="65" spans="1:11">
      <c r="A65" s="7">
        <v>64</v>
      </c>
      <c r="B65" s="7" t="s">
        <v>89</v>
      </c>
      <c r="C65" s="7" t="s">
        <v>484</v>
      </c>
      <c r="D65" s="105"/>
      <c r="E65" s="105"/>
      <c r="F65" s="7"/>
      <c r="G65" s="105"/>
      <c r="H65" s="105"/>
      <c r="I65" s="105"/>
    </row>
    <row r="66" spans="1:11">
      <c r="A66" s="7">
        <v>65</v>
      </c>
      <c r="B66" s="7" t="s">
        <v>13</v>
      </c>
      <c r="C66" s="7" t="s">
        <v>485</v>
      </c>
      <c r="D66" s="105"/>
      <c r="E66" s="105"/>
      <c r="F66" s="7"/>
      <c r="G66" s="105"/>
      <c r="H66" s="105"/>
      <c r="I66" s="105"/>
      <c r="J66" s="27">
        <v>46247</v>
      </c>
      <c r="K66" s="6">
        <v>10</v>
      </c>
    </row>
  </sheetData>
  <sortState xmlns:xlrd2="http://schemas.microsoft.com/office/spreadsheetml/2017/richdata2" ref="A2:I55">
    <sortCondition ref="B2:B55"/>
  </sortState>
  <conditionalFormatting sqref="D56:E66">
    <cfRule type="cellIs" dxfId="16" priority="3" operator="lessThan">
      <formula>7</formula>
    </cfRule>
  </conditionalFormatting>
  <conditionalFormatting sqref="E2:AP4 H5:AP5 E5:G9 H6:N6 P6:AP14 H7 J7:N7 H8:N8 H9 J9:N9 E10:N14 E15:AP18 E19:K19 M19:AP19 E20:H20 J20:N20 P20:AP25 E21:N23 H24:N25 E24:G26 H26:AP26 E27:H27 J27:AP27 H28:AP28 E28:G30 H29:H30 J29:AP30 E31:AP33 H34:AP34 E34:G35 H35:N35 P35:AP54 E36:N36 E37:M37 E38:K38 M38 H39:M39 E39:G42 I40:M40 H41:M42 E43:J43 L43:N43 N44:O50 E44:M53 E54:G54 J54:M54 H54:I66">
    <cfRule type="cellIs" dxfId="15" priority="15" operator="lessThan">
      <formula>7</formula>
    </cfRule>
  </conditionalFormatting>
  <conditionalFormatting sqref="F59">
    <cfRule type="cellIs" dxfId="14" priority="5" operator="lessThan">
      <formula>7</formula>
    </cfRule>
  </conditionalFormatting>
  <conditionalFormatting sqref="F61:G66">
    <cfRule type="cellIs" dxfId="13" priority="7" operator="lessThan">
      <formula>7</formula>
    </cfRule>
  </conditionalFormatting>
  <conditionalFormatting sqref="G57:G60">
    <cfRule type="cellIs" dxfId="12" priority="2" operator="lessThan">
      <formula>7</formula>
    </cfRule>
  </conditionalFormatting>
  <conditionalFormatting sqref="J58:J60">
    <cfRule type="cellIs" dxfId="11" priority="8" operator="lessThan">
      <formula>7</formula>
    </cfRule>
  </conditionalFormatting>
  <conditionalFormatting sqref="P55:P58">
    <cfRule type="cellIs" dxfId="10" priority="9" operator="lessThan">
      <formula>7</formula>
    </cfRule>
  </conditionalFormatting>
  <conditionalFormatting sqref="J66">
    <cfRule type="cellIs" dxfId="9" priority="1" operator="lessThan">
      <formula>7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48F7-EA3D-4FD8-8BF9-EF6107161945}">
  <dimension ref="A1:N49"/>
  <sheetViews>
    <sheetView workbookViewId="0">
      <pane xSplit="2" topLeftCell="C1" activePane="topRight" state="frozen"/>
      <selection pane="topRight" activeCell="C23" sqref="C23"/>
    </sheetView>
  </sheetViews>
  <sheetFormatPr defaultColWidth="9.140625" defaultRowHeight="15"/>
  <cols>
    <col min="1" max="1" width="9.140625" style="10"/>
    <col min="2" max="2" width="19.85546875" style="6" customWidth="1"/>
    <col min="3" max="3" width="11.7109375" style="6" customWidth="1"/>
    <col min="4" max="4" width="7.5703125" style="6" customWidth="1"/>
    <col min="5" max="5" width="12.28515625" style="6" customWidth="1"/>
    <col min="6" max="6" width="6.140625" style="6" customWidth="1"/>
    <col min="7" max="7" width="13.7109375" style="6" customWidth="1"/>
    <col min="8" max="8" width="7.7109375" style="6" customWidth="1"/>
    <col min="9" max="9" width="11.5703125" style="6" customWidth="1"/>
    <col min="10" max="10" width="12.7109375" style="6" customWidth="1"/>
    <col min="11" max="11" width="22.5703125" style="6" customWidth="1"/>
    <col min="12" max="13" width="9.140625" style="6"/>
    <col min="14" max="14" width="27.5703125" style="6" customWidth="1"/>
    <col min="15" max="16384" width="9.140625" style="6"/>
  </cols>
  <sheetData>
    <row r="1" spans="1:14" s="14" customFormat="1">
      <c r="A1" s="16" t="s">
        <v>505</v>
      </c>
      <c r="B1" s="14" t="s">
        <v>1</v>
      </c>
      <c r="C1" s="14" t="s">
        <v>9</v>
      </c>
      <c r="D1" s="14" t="s">
        <v>223</v>
      </c>
      <c r="E1" s="14" t="s">
        <v>9</v>
      </c>
      <c r="F1" s="14" t="s">
        <v>223</v>
      </c>
      <c r="G1" s="14" t="s">
        <v>9</v>
      </c>
      <c r="H1" s="14" t="s">
        <v>223</v>
      </c>
      <c r="I1" s="14" t="s">
        <v>9</v>
      </c>
      <c r="J1" s="14" t="s">
        <v>223</v>
      </c>
      <c r="K1" s="6"/>
      <c r="L1" s="6"/>
      <c r="M1" s="6"/>
    </row>
    <row r="2" spans="1:14">
      <c r="A2" s="10">
        <v>1</v>
      </c>
      <c r="B2" s="30" t="s">
        <v>157</v>
      </c>
      <c r="C2" s="27">
        <v>46220</v>
      </c>
      <c r="D2" s="6" t="s">
        <v>229</v>
      </c>
      <c r="E2" s="21">
        <v>46211</v>
      </c>
      <c r="F2" s="9">
        <v>6</v>
      </c>
      <c r="G2" s="4" t="s">
        <v>492</v>
      </c>
      <c r="H2" s="9">
        <v>5</v>
      </c>
      <c r="I2" s="6" t="s">
        <v>490</v>
      </c>
      <c r="J2" s="9">
        <v>5</v>
      </c>
    </row>
    <row r="3" spans="1:14">
      <c r="A3" s="10">
        <v>2</v>
      </c>
      <c r="B3" s="6" t="s">
        <v>499</v>
      </c>
      <c r="C3" s="27">
        <v>46220</v>
      </c>
      <c r="D3" s="9">
        <v>6</v>
      </c>
      <c r="E3" s="6" t="s">
        <v>490</v>
      </c>
      <c r="F3" s="9">
        <v>4</v>
      </c>
    </row>
    <row r="4" spans="1:14">
      <c r="A4" s="10">
        <v>3</v>
      </c>
      <c r="B4" s="6" t="s">
        <v>144</v>
      </c>
      <c r="C4" s="27">
        <v>46219</v>
      </c>
      <c r="D4" s="9">
        <v>4</v>
      </c>
      <c r="E4" s="45" t="s">
        <v>492</v>
      </c>
      <c r="F4" s="9">
        <v>6.75</v>
      </c>
    </row>
    <row r="5" spans="1:14">
      <c r="A5" s="10">
        <v>4</v>
      </c>
      <c r="B5" s="7" t="s">
        <v>55</v>
      </c>
      <c r="C5" s="27">
        <v>46218</v>
      </c>
      <c r="D5" s="42">
        <v>6</v>
      </c>
      <c r="F5" s="44"/>
      <c r="N5" s="7"/>
    </row>
    <row r="6" spans="1:14">
      <c r="A6" s="10">
        <v>5</v>
      </c>
      <c r="B6" s="30" t="s">
        <v>34</v>
      </c>
      <c r="C6" s="21">
        <v>46212</v>
      </c>
      <c r="D6" s="43">
        <v>5</v>
      </c>
      <c r="F6" s="44"/>
      <c r="N6" s="7"/>
    </row>
    <row r="7" spans="1:14">
      <c r="A7" s="10">
        <v>6</v>
      </c>
      <c r="B7" s="30" t="s">
        <v>39</v>
      </c>
      <c r="C7" s="27">
        <v>46218</v>
      </c>
      <c r="D7" s="43">
        <v>5</v>
      </c>
      <c r="F7" s="44"/>
      <c r="N7" s="7"/>
    </row>
    <row r="8" spans="1:14">
      <c r="A8" s="10">
        <v>7</v>
      </c>
      <c r="B8" s="6" t="s">
        <v>496</v>
      </c>
      <c r="C8" s="27">
        <v>46220</v>
      </c>
      <c r="D8" s="43">
        <v>6.5</v>
      </c>
      <c r="F8" s="44"/>
      <c r="N8" s="7"/>
    </row>
    <row r="9" spans="1:14">
      <c r="A9" s="10">
        <v>8</v>
      </c>
      <c r="B9" s="6" t="s">
        <v>88</v>
      </c>
      <c r="C9" s="27">
        <v>46220</v>
      </c>
      <c r="D9" s="43">
        <v>6.5</v>
      </c>
      <c r="F9" s="44"/>
      <c r="N9" s="7"/>
    </row>
    <row r="10" spans="1:14">
      <c r="A10" s="10">
        <v>9</v>
      </c>
      <c r="B10" s="30" t="s">
        <v>177</v>
      </c>
      <c r="C10" s="27">
        <v>46218</v>
      </c>
      <c r="D10" s="42">
        <v>6</v>
      </c>
      <c r="F10" s="44"/>
    </row>
    <row r="11" spans="1:14">
      <c r="A11" s="10">
        <v>10</v>
      </c>
      <c r="B11" s="6" t="s">
        <v>137</v>
      </c>
      <c r="C11" s="4" t="s">
        <v>492</v>
      </c>
      <c r="D11" s="43">
        <v>5</v>
      </c>
      <c r="F11" s="44"/>
    </row>
    <row r="12" spans="1:14">
      <c r="A12" s="10">
        <v>11</v>
      </c>
      <c r="B12" s="30" t="s">
        <v>12</v>
      </c>
      <c r="C12" s="4" t="s">
        <v>492</v>
      </c>
      <c r="D12" s="42">
        <v>3</v>
      </c>
      <c r="F12" s="44"/>
    </row>
    <row r="13" spans="1:14">
      <c r="A13" s="10">
        <v>12</v>
      </c>
      <c r="B13" s="30" t="s">
        <v>495</v>
      </c>
      <c r="C13" s="4" t="s">
        <v>492</v>
      </c>
      <c r="D13" s="42">
        <v>2</v>
      </c>
      <c r="F13" s="44"/>
    </row>
    <row r="14" spans="1:14">
      <c r="A14" s="10">
        <v>13</v>
      </c>
      <c r="B14" s="34" t="s">
        <v>494</v>
      </c>
      <c r="C14" s="6" t="s">
        <v>490</v>
      </c>
      <c r="D14" s="23">
        <v>5</v>
      </c>
      <c r="F14" s="44"/>
    </row>
    <row r="15" spans="1:14">
      <c r="A15" s="10">
        <v>14</v>
      </c>
      <c r="B15" s="30" t="s">
        <v>165</v>
      </c>
      <c r="C15" s="6" t="s">
        <v>490</v>
      </c>
      <c r="D15" s="23">
        <v>0.5</v>
      </c>
      <c r="F15" s="44"/>
    </row>
    <row r="16" spans="1:14">
      <c r="A16" s="10">
        <v>15</v>
      </c>
      <c r="B16" s="30" t="s">
        <v>174</v>
      </c>
      <c r="C16" s="6" t="s">
        <v>490</v>
      </c>
      <c r="D16" s="23">
        <v>4</v>
      </c>
      <c r="F16" s="44"/>
    </row>
    <row r="17" spans="1:6">
      <c r="A17" s="10">
        <v>16</v>
      </c>
      <c r="B17" s="34" t="s">
        <v>125</v>
      </c>
      <c r="C17" s="6" t="s">
        <v>490</v>
      </c>
      <c r="D17" s="23">
        <v>4</v>
      </c>
      <c r="F17" s="44"/>
    </row>
    <row r="18" spans="1:6">
      <c r="A18" s="10">
        <v>17</v>
      </c>
      <c r="B18" s="30" t="s">
        <v>150</v>
      </c>
      <c r="C18" s="4" t="s">
        <v>492</v>
      </c>
      <c r="D18" s="23">
        <v>4.5</v>
      </c>
      <c r="F18" s="44"/>
    </row>
    <row r="19" spans="1:6">
      <c r="A19" s="10">
        <v>18</v>
      </c>
      <c r="B19" s="30" t="s">
        <v>130</v>
      </c>
      <c r="C19" s="6" t="s">
        <v>490</v>
      </c>
      <c r="D19" s="23">
        <v>3</v>
      </c>
      <c r="F19" s="44"/>
    </row>
    <row r="20" spans="1:6">
      <c r="A20" s="10">
        <v>19</v>
      </c>
      <c r="B20" s="30" t="s">
        <v>116</v>
      </c>
      <c r="C20" s="6" t="s">
        <v>490</v>
      </c>
      <c r="D20" s="23">
        <v>3</v>
      </c>
      <c r="F20" s="44"/>
    </row>
    <row r="21" spans="1:6">
      <c r="A21" s="10">
        <v>20</v>
      </c>
      <c r="B21" s="30" t="s">
        <v>502</v>
      </c>
      <c r="C21" s="6" t="s">
        <v>490</v>
      </c>
      <c r="D21" s="23">
        <v>5</v>
      </c>
      <c r="F21" s="44"/>
    </row>
    <row r="22" spans="1:6">
      <c r="A22" s="10">
        <v>21</v>
      </c>
      <c r="B22" s="30" t="s">
        <v>217</v>
      </c>
      <c r="C22" s="4" t="s">
        <v>492</v>
      </c>
      <c r="D22" s="23">
        <v>3</v>
      </c>
      <c r="F22" s="44"/>
    </row>
    <row r="23" spans="1:6">
      <c r="B23" s="7"/>
      <c r="C23" s="7"/>
      <c r="D23" s="7"/>
      <c r="E23" s="46"/>
    </row>
    <row r="24" spans="1:6">
      <c r="B24" s="10"/>
      <c r="C24" s="10"/>
      <c r="D24" s="7"/>
      <c r="E24" s="10"/>
    </row>
    <row r="25" spans="1:6">
      <c r="B25" s="7"/>
      <c r="C25" s="7"/>
      <c r="D25" s="7"/>
      <c r="E25" s="10"/>
    </row>
    <row r="36" spans="5:5">
      <c r="E36" s="9"/>
    </row>
    <row r="37" spans="5:5">
      <c r="E37" s="7"/>
    </row>
    <row r="38" spans="5:5">
      <c r="E38" s="9"/>
    </row>
    <row r="41" spans="5:5">
      <c r="E41" s="10"/>
    </row>
    <row r="43" spans="5:5">
      <c r="E43" s="15"/>
    </row>
    <row r="44" spans="5:5">
      <c r="E44" s="15"/>
    </row>
    <row r="45" spans="5:5">
      <c r="E45" s="17"/>
    </row>
    <row r="46" spans="5:5">
      <c r="E46" s="17"/>
    </row>
    <row r="47" spans="5:5">
      <c r="E47" s="17"/>
    </row>
    <row r="48" spans="5:5">
      <c r="E48" s="17"/>
    </row>
    <row r="49" spans="5:5">
      <c r="E49" s="18"/>
    </row>
  </sheetData>
  <conditionalFormatting sqref="C2:C13">
    <cfRule type="cellIs" dxfId="8" priority="11" operator="lessThan">
      <formula>7</formula>
    </cfRule>
  </conditionalFormatting>
  <conditionalFormatting sqref="C18:D18 F18">
    <cfRule type="cellIs" dxfId="7" priority="3" operator="lessThan">
      <formula>7</formula>
    </cfRule>
  </conditionalFormatting>
  <conditionalFormatting sqref="C22:D22 F22">
    <cfRule type="cellIs" dxfId="6" priority="1" operator="lessThan">
      <formula>7</formula>
    </cfRule>
  </conditionalFormatting>
  <conditionalFormatting sqref="D6">
    <cfRule type="cellIs" dxfId="5" priority="8" operator="lessThan">
      <formula>7</formula>
    </cfRule>
  </conditionalFormatting>
  <conditionalFormatting sqref="D8:D11">
    <cfRule type="cellIs" dxfId="4" priority="9" operator="lessThan">
      <formula>7</formula>
    </cfRule>
  </conditionalFormatting>
  <conditionalFormatting sqref="D14:D17">
    <cfRule type="cellIs" dxfId="3" priority="4" operator="lessThan">
      <formula>7</formula>
    </cfRule>
  </conditionalFormatting>
  <conditionalFormatting sqref="D19:D21">
    <cfRule type="cellIs" dxfId="2" priority="2" operator="lessThan">
      <formula>7</formula>
    </cfRule>
  </conditionalFormatting>
  <conditionalFormatting sqref="E2:E4">
    <cfRule type="cellIs" dxfId="1" priority="12" operator="lessThan">
      <formula>7</formula>
    </cfRule>
  </conditionalFormatting>
  <conditionalFormatting sqref="G2">
    <cfRule type="cellIs" dxfId="0" priority="28" operator="lessThan">
      <formula>7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4097-0D00-4128-9BB7-10110CDCA4E7}">
  <dimension ref="A1:H25"/>
  <sheetViews>
    <sheetView workbookViewId="0">
      <selection activeCell="F12" sqref="F12"/>
    </sheetView>
  </sheetViews>
  <sheetFormatPr defaultRowHeight="15"/>
  <cols>
    <col min="1" max="1" width="20.42578125" customWidth="1"/>
    <col min="2" max="2" width="23.7109375" customWidth="1"/>
    <col min="3" max="3" width="17.42578125" customWidth="1"/>
    <col min="4" max="4" width="16.7109375" customWidth="1"/>
    <col min="5" max="5" width="12.7109375" customWidth="1"/>
    <col min="6" max="6" width="17.5703125" customWidth="1"/>
  </cols>
  <sheetData>
    <row r="1" spans="1:8">
      <c r="A1" s="275" t="s">
        <v>506</v>
      </c>
      <c r="B1" s="275"/>
      <c r="C1" s="275"/>
      <c r="D1" s="275"/>
      <c r="E1" s="275"/>
    </row>
    <row r="2" spans="1:8" s="6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F2" s="14" t="s">
        <v>10</v>
      </c>
      <c r="H2" s="14"/>
    </row>
    <row r="3" spans="1:8" s="6" customFormat="1">
      <c r="A3" s="2" t="s">
        <v>96</v>
      </c>
      <c r="B3" s="2" t="s">
        <v>97</v>
      </c>
      <c r="C3" s="11" t="s">
        <v>21</v>
      </c>
      <c r="D3" s="11" t="s">
        <v>21</v>
      </c>
      <c r="E3" s="3">
        <v>46233</v>
      </c>
      <c r="F3" s="6" t="s">
        <v>507</v>
      </c>
      <c r="G3" s="6" t="s">
        <v>508</v>
      </c>
    </row>
    <row r="4" spans="1:8" s="6" customFormat="1">
      <c r="A4" s="5" t="s">
        <v>20</v>
      </c>
      <c r="B4" s="5" t="s">
        <v>13</v>
      </c>
      <c r="C4" s="5" t="s">
        <v>21</v>
      </c>
      <c r="D4" s="11" t="s">
        <v>21</v>
      </c>
      <c r="E4" s="3">
        <v>46233</v>
      </c>
    </row>
    <row r="5" spans="1:8" s="6" customFormat="1">
      <c r="A5" s="2" t="s">
        <v>494</v>
      </c>
      <c r="B5" s="2" t="s">
        <v>13</v>
      </c>
      <c r="C5" s="11" t="s">
        <v>21</v>
      </c>
      <c r="D5" s="11" t="s">
        <v>21</v>
      </c>
      <c r="E5" s="3">
        <v>46233</v>
      </c>
      <c r="F5" s="6" t="s">
        <v>507</v>
      </c>
    </row>
    <row r="6" spans="1:8" s="6" customFormat="1">
      <c r="A6" s="2" t="s">
        <v>31</v>
      </c>
      <c r="B6" s="2" t="s">
        <v>13</v>
      </c>
      <c r="C6" s="11" t="s">
        <v>21</v>
      </c>
      <c r="D6" s="11" t="s">
        <v>21</v>
      </c>
      <c r="E6" s="3">
        <v>46233</v>
      </c>
      <c r="F6" s="6" t="s">
        <v>507</v>
      </c>
    </row>
    <row r="7" spans="1:8" s="6" customFormat="1">
      <c r="A7" s="1" t="s">
        <v>203</v>
      </c>
      <c r="B7" s="2" t="s">
        <v>204</v>
      </c>
      <c r="C7" s="2" t="s">
        <v>112</v>
      </c>
      <c r="D7" s="2" t="s">
        <v>112</v>
      </c>
      <c r="E7" s="3">
        <v>46233</v>
      </c>
      <c r="F7" s="6" t="s">
        <v>491</v>
      </c>
    </row>
    <row r="8" spans="1:8" s="6" customFormat="1">
      <c r="A8" s="1" t="s">
        <v>504</v>
      </c>
      <c r="B8" s="2" t="s">
        <v>204</v>
      </c>
      <c r="C8" s="2" t="s">
        <v>112</v>
      </c>
      <c r="D8" s="2" t="s">
        <v>112</v>
      </c>
      <c r="E8" s="3">
        <v>46233</v>
      </c>
      <c r="F8" s="6" t="s">
        <v>491</v>
      </c>
    </row>
    <row r="9" spans="1:8" s="6" customFormat="1">
      <c r="A9" s="1" t="s">
        <v>211</v>
      </c>
      <c r="B9" s="2" t="s">
        <v>204</v>
      </c>
      <c r="C9" s="2" t="s">
        <v>112</v>
      </c>
      <c r="D9" s="2" t="s">
        <v>112</v>
      </c>
      <c r="E9" s="3">
        <v>46233</v>
      </c>
      <c r="F9" s="6" t="s">
        <v>491</v>
      </c>
    </row>
    <row r="10" spans="1:8" s="6" customFormat="1">
      <c r="A10" s="1" t="s">
        <v>214</v>
      </c>
      <c r="B10" s="2" t="s">
        <v>204</v>
      </c>
      <c r="C10" s="2" t="s">
        <v>112</v>
      </c>
      <c r="D10" s="2" t="s">
        <v>112</v>
      </c>
      <c r="E10" s="3">
        <v>46233</v>
      </c>
    </row>
    <row r="11" spans="1:8" s="6" customFormat="1">
      <c r="A11" s="1" t="s">
        <v>217</v>
      </c>
      <c r="B11" s="2" t="s">
        <v>204</v>
      </c>
      <c r="C11" s="2" t="s">
        <v>112</v>
      </c>
      <c r="D11" s="2" t="s">
        <v>112</v>
      </c>
      <c r="E11" s="3">
        <v>46233</v>
      </c>
    </row>
    <row r="12" spans="1:8" s="6" customFormat="1">
      <c r="A12" s="2" t="s">
        <v>34</v>
      </c>
      <c r="B12" s="2" t="s">
        <v>13</v>
      </c>
      <c r="C12" s="2" t="s">
        <v>35</v>
      </c>
      <c r="D12" s="4" t="s">
        <v>509</v>
      </c>
      <c r="E12" s="3">
        <v>46233</v>
      </c>
      <c r="F12" s="6" t="s">
        <v>491</v>
      </c>
    </row>
    <row r="13" spans="1:8" s="6" customFormat="1">
      <c r="A13" s="2" t="s">
        <v>110</v>
      </c>
      <c r="B13" s="2" t="s">
        <v>111</v>
      </c>
      <c r="C13" s="2" t="s">
        <v>43</v>
      </c>
      <c r="D13" s="2" t="s">
        <v>112</v>
      </c>
      <c r="E13" s="3">
        <v>46233</v>
      </c>
      <c r="F13" s="6" t="s">
        <v>507</v>
      </c>
    </row>
    <row r="14" spans="1:8" s="6" customFormat="1">
      <c r="A14" s="2" t="s">
        <v>116</v>
      </c>
      <c r="B14" s="2" t="s">
        <v>111</v>
      </c>
      <c r="C14" s="2" t="s">
        <v>43</v>
      </c>
      <c r="D14" s="2" t="s">
        <v>112</v>
      </c>
      <c r="E14" s="3">
        <v>46233</v>
      </c>
      <c r="F14" s="6" t="s">
        <v>507</v>
      </c>
    </row>
    <row r="15" spans="1:8" s="6" customFormat="1">
      <c r="A15" s="2" t="s">
        <v>119</v>
      </c>
      <c r="B15" s="2" t="s">
        <v>111</v>
      </c>
      <c r="C15" s="2" t="s">
        <v>43</v>
      </c>
      <c r="D15" s="2" t="s">
        <v>112</v>
      </c>
      <c r="E15" s="3">
        <v>46233</v>
      </c>
      <c r="F15" s="6" t="s">
        <v>507</v>
      </c>
    </row>
    <row r="16" spans="1:8" s="6" customFormat="1">
      <c r="A16" s="2" t="s">
        <v>122</v>
      </c>
      <c r="B16" s="2" t="s">
        <v>111</v>
      </c>
      <c r="C16" s="2" t="s">
        <v>43</v>
      </c>
      <c r="D16" s="2" t="s">
        <v>112</v>
      </c>
      <c r="E16" s="3">
        <v>46233</v>
      </c>
      <c r="F16" s="6" t="s">
        <v>507</v>
      </c>
    </row>
    <row r="17" s="6" customFormat="1"/>
    <row r="18" s="6" customFormat="1"/>
    <row r="19" s="6" customFormat="1"/>
    <row r="20" s="6" customFormat="1"/>
    <row r="21" s="6" customFormat="1"/>
    <row r="22" s="6" customFormat="1"/>
    <row r="23" s="6" customFormat="1"/>
    <row r="24" s="6" customFormat="1"/>
    <row r="25" s="6" customFormat="1"/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C15B-A6F5-4FA0-8B31-407646BC3BD0}">
  <dimension ref="A1:F17"/>
  <sheetViews>
    <sheetView workbookViewId="0">
      <selection activeCell="G19" sqref="G19"/>
    </sheetView>
  </sheetViews>
  <sheetFormatPr defaultRowHeight="15"/>
  <cols>
    <col min="1" max="1" width="20.28515625" customWidth="1"/>
    <col min="2" max="2" width="25.7109375" customWidth="1"/>
    <col min="3" max="3" width="15.42578125" customWidth="1"/>
    <col min="4" max="4" width="18.42578125" customWidth="1"/>
    <col min="5" max="5" width="19.140625" customWidth="1"/>
  </cols>
  <sheetData>
    <row r="1" spans="1:6">
      <c r="A1" s="276" t="s">
        <v>510</v>
      </c>
      <c r="B1" s="276"/>
      <c r="C1" s="276"/>
      <c r="D1" s="276"/>
      <c r="E1" s="276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F2" t="s">
        <v>511</v>
      </c>
    </row>
    <row r="3" spans="1:6">
      <c r="A3" s="2" t="s">
        <v>125</v>
      </c>
      <c r="B3" s="2" t="s">
        <v>111</v>
      </c>
      <c r="C3" s="2" t="s">
        <v>40</v>
      </c>
      <c r="D3" s="2" t="s">
        <v>126</v>
      </c>
      <c r="E3" s="3">
        <v>46249</v>
      </c>
    </row>
    <row r="4" spans="1:6">
      <c r="A4" s="2" t="s">
        <v>130</v>
      </c>
      <c r="B4" s="2" t="s">
        <v>111</v>
      </c>
      <c r="C4" s="2" t="s">
        <v>40</v>
      </c>
      <c r="D4" s="2" t="s">
        <v>126</v>
      </c>
      <c r="E4" s="3">
        <v>46249</v>
      </c>
    </row>
    <row r="5" spans="1:6">
      <c r="A5" s="2" t="s">
        <v>133</v>
      </c>
      <c r="B5" s="2" t="s">
        <v>111</v>
      </c>
      <c r="C5" s="2" t="s">
        <v>40</v>
      </c>
      <c r="D5" s="2" t="s">
        <v>134</v>
      </c>
      <c r="E5" s="3">
        <v>46249</v>
      </c>
    </row>
    <row r="6" spans="1:6">
      <c r="A6" s="2" t="s">
        <v>39</v>
      </c>
      <c r="B6" s="2" t="s">
        <v>13</v>
      </c>
      <c r="C6" s="2" t="s">
        <v>40</v>
      </c>
      <c r="D6" s="2" t="s">
        <v>40</v>
      </c>
      <c r="E6" s="24">
        <v>46249</v>
      </c>
    </row>
    <row r="7" spans="1:6">
      <c r="A7" s="6" t="s">
        <v>137</v>
      </c>
      <c r="B7" s="6" t="s">
        <v>111</v>
      </c>
      <c r="C7" s="6" t="s">
        <v>40</v>
      </c>
      <c r="D7" s="23" t="s">
        <v>138</v>
      </c>
      <c r="E7" s="21">
        <v>46249</v>
      </c>
    </row>
    <row r="8" spans="1:6">
      <c r="A8" s="6" t="s">
        <v>141</v>
      </c>
      <c r="B8" s="6" t="s">
        <v>111</v>
      </c>
      <c r="C8" s="2" t="s">
        <v>40</v>
      </c>
      <c r="D8" s="23" t="s">
        <v>126</v>
      </c>
      <c r="E8" s="21">
        <v>46249</v>
      </c>
      <c r="F8" t="s">
        <v>507</v>
      </c>
    </row>
    <row r="9" spans="1:6">
      <c r="A9" s="6" t="s">
        <v>144</v>
      </c>
      <c r="B9" s="6" t="s">
        <v>111</v>
      </c>
      <c r="C9" s="2" t="s">
        <v>40</v>
      </c>
      <c r="D9" s="23" t="s">
        <v>126</v>
      </c>
      <c r="E9" s="21">
        <v>46249</v>
      </c>
      <c r="F9" t="s">
        <v>507</v>
      </c>
    </row>
    <row r="10" spans="1:6">
      <c r="A10" s="2" t="s">
        <v>12</v>
      </c>
      <c r="B10" s="2" t="s">
        <v>227</v>
      </c>
      <c r="C10" s="2" t="s">
        <v>14</v>
      </c>
      <c r="D10" s="2" t="s">
        <v>15</v>
      </c>
      <c r="E10" s="25">
        <v>46249</v>
      </c>
    </row>
    <row r="11" spans="1:6">
      <c r="A11" s="2" t="s">
        <v>495</v>
      </c>
      <c r="B11" s="2" t="s">
        <v>13</v>
      </c>
      <c r="C11" s="2" t="s">
        <v>43</v>
      </c>
      <c r="D11" s="2" t="s">
        <v>44</v>
      </c>
      <c r="E11" s="25">
        <v>46249</v>
      </c>
    </row>
    <row r="12" spans="1:6">
      <c r="A12" s="5" t="s">
        <v>512</v>
      </c>
      <c r="B12" s="5" t="s">
        <v>111</v>
      </c>
      <c r="C12" s="2" t="s">
        <v>43</v>
      </c>
      <c r="D12" s="2" t="s">
        <v>44</v>
      </c>
      <c r="E12" s="25">
        <v>46249</v>
      </c>
    </row>
    <row r="14" spans="1:6">
      <c r="A14" s="2" t="s">
        <v>130</v>
      </c>
    </row>
    <row r="15" spans="1:6">
      <c r="A15" s="2" t="s">
        <v>133</v>
      </c>
    </row>
    <row r="16" spans="1:6">
      <c r="A16" t="s">
        <v>513</v>
      </c>
    </row>
    <row r="17" spans="1:1">
      <c r="A17" s="2" t="s">
        <v>495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C9B1-4F86-46FE-9AF6-5EC75A28CFE6}">
  <dimension ref="A1:E12"/>
  <sheetViews>
    <sheetView workbookViewId="0">
      <selection activeCell="I8" sqref="I8"/>
    </sheetView>
  </sheetViews>
  <sheetFormatPr defaultRowHeight="15"/>
  <cols>
    <col min="1" max="1" width="21.7109375" customWidth="1"/>
    <col min="2" max="2" width="28.28515625" customWidth="1"/>
    <col min="3" max="3" width="22.140625" customWidth="1"/>
    <col min="4" max="4" width="20.42578125" customWidth="1"/>
    <col min="5" max="5" width="17.42578125" customWidth="1"/>
  </cols>
  <sheetData>
    <row r="1" spans="1:5">
      <c r="A1" s="276" t="s">
        <v>514</v>
      </c>
      <c r="B1" s="276"/>
      <c r="C1" s="276"/>
      <c r="D1" s="276"/>
      <c r="E1" s="276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</row>
    <row r="3" spans="1:5">
      <c r="A3" s="2" t="s">
        <v>150</v>
      </c>
      <c r="B3" s="2" t="s">
        <v>111</v>
      </c>
      <c r="C3" s="2" t="s">
        <v>151</v>
      </c>
      <c r="D3" s="2" t="s">
        <v>44</v>
      </c>
      <c r="E3" s="3">
        <v>46265</v>
      </c>
    </row>
    <row r="4" spans="1:5">
      <c r="A4" s="2" t="s">
        <v>154</v>
      </c>
      <c r="B4" s="2" t="s">
        <v>111</v>
      </c>
      <c r="C4" s="2" t="s">
        <v>151</v>
      </c>
      <c r="D4" s="2" t="s">
        <v>44</v>
      </c>
      <c r="E4" s="3">
        <v>46265</v>
      </c>
    </row>
    <row r="5" spans="1:5">
      <c r="A5" s="2" t="s">
        <v>157</v>
      </c>
      <c r="B5" s="2" t="s">
        <v>111</v>
      </c>
      <c r="C5" s="2" t="s">
        <v>151</v>
      </c>
      <c r="D5" s="2" t="s">
        <v>44</v>
      </c>
      <c r="E5" s="3">
        <v>46265</v>
      </c>
    </row>
    <row r="6" spans="1:5">
      <c r="A6" s="2" t="s">
        <v>160</v>
      </c>
      <c r="B6" s="2" t="s">
        <v>111</v>
      </c>
      <c r="C6" s="2" t="s">
        <v>151</v>
      </c>
      <c r="D6" s="2" t="s">
        <v>44</v>
      </c>
      <c r="E6" s="3">
        <v>46265</v>
      </c>
    </row>
    <row r="7" spans="1:5">
      <c r="A7" s="2" t="s">
        <v>163</v>
      </c>
      <c r="B7" s="2" t="s">
        <v>111</v>
      </c>
      <c r="C7" s="2" t="s">
        <v>151</v>
      </c>
      <c r="D7" s="2" t="s">
        <v>44</v>
      </c>
      <c r="E7" s="3">
        <v>46265</v>
      </c>
    </row>
    <row r="8" spans="1:5">
      <c r="A8" s="2" t="s">
        <v>165</v>
      </c>
      <c r="B8" s="2" t="s">
        <v>111</v>
      </c>
      <c r="C8" s="2" t="s">
        <v>151</v>
      </c>
      <c r="D8" s="2" t="s">
        <v>44</v>
      </c>
      <c r="E8" s="3">
        <v>46265</v>
      </c>
    </row>
    <row r="9" spans="1:5">
      <c r="A9" s="2" t="s">
        <v>502</v>
      </c>
      <c r="B9" s="2" t="s">
        <v>111</v>
      </c>
      <c r="C9" s="2" t="s">
        <v>151</v>
      </c>
      <c r="D9" s="2" t="s">
        <v>44</v>
      </c>
      <c r="E9" s="3">
        <v>46265</v>
      </c>
    </row>
    <row r="10" spans="1:5">
      <c r="A10" s="2" t="s">
        <v>171</v>
      </c>
      <c r="B10" s="2" t="s">
        <v>111</v>
      </c>
      <c r="C10" s="2" t="s">
        <v>48</v>
      </c>
      <c r="D10" s="2" t="s">
        <v>36</v>
      </c>
      <c r="E10" s="3">
        <v>46265</v>
      </c>
    </row>
    <row r="11" spans="1:5">
      <c r="A11" s="2" t="s">
        <v>174</v>
      </c>
      <c r="B11" s="2" t="s">
        <v>111</v>
      </c>
      <c r="C11" s="2" t="s">
        <v>151</v>
      </c>
      <c r="D11" s="2" t="s">
        <v>44</v>
      </c>
      <c r="E11" s="3">
        <v>46265</v>
      </c>
    </row>
    <row r="12" spans="1:5">
      <c r="A12" s="6" t="s">
        <v>219</v>
      </c>
      <c r="B12" s="6" t="s">
        <v>204</v>
      </c>
      <c r="C12" s="6" t="s">
        <v>48</v>
      </c>
      <c r="D12" s="6" t="s">
        <v>220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4D8C-2CBB-44CA-9946-3B541351E255}">
  <dimension ref="A1:E7"/>
  <sheetViews>
    <sheetView workbookViewId="0">
      <selection activeCell="E3" sqref="E3"/>
    </sheetView>
  </sheetViews>
  <sheetFormatPr defaultRowHeight="15"/>
  <cols>
    <col min="1" max="1" width="21.140625" customWidth="1"/>
    <col min="2" max="2" width="20.7109375" customWidth="1"/>
    <col min="3" max="3" width="16.5703125" customWidth="1"/>
    <col min="4" max="4" width="16" customWidth="1"/>
    <col min="5" max="5" width="15.28515625" customWidth="1"/>
  </cols>
  <sheetData>
    <row r="1" spans="1:5">
      <c r="A1" s="276" t="s">
        <v>515</v>
      </c>
      <c r="B1" s="276"/>
      <c r="C1" s="276"/>
      <c r="D1" s="276"/>
      <c r="E1" s="276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</row>
    <row r="3" spans="1:5">
      <c r="A3" s="2" t="s">
        <v>177</v>
      </c>
      <c r="B3" s="2" t="s">
        <v>111</v>
      </c>
      <c r="C3" s="2" t="s">
        <v>178</v>
      </c>
      <c r="D3" s="2" t="s">
        <v>179</v>
      </c>
      <c r="E3" s="3">
        <v>46336</v>
      </c>
    </row>
    <row r="4" spans="1:5">
      <c r="A4" s="2" t="s">
        <v>101</v>
      </c>
      <c r="B4" s="2" t="s">
        <v>97</v>
      </c>
      <c r="C4" s="2" t="s">
        <v>61</v>
      </c>
      <c r="D4" s="2" t="s">
        <v>102</v>
      </c>
      <c r="E4" s="3">
        <v>46336</v>
      </c>
    </row>
    <row r="5" spans="1:5">
      <c r="A5" s="6" t="s">
        <v>499</v>
      </c>
      <c r="B5" s="2" t="s">
        <v>97</v>
      </c>
      <c r="C5" s="6" t="s">
        <v>61</v>
      </c>
      <c r="D5" s="6" t="s">
        <v>107</v>
      </c>
      <c r="E5" s="3">
        <v>46337</v>
      </c>
    </row>
    <row r="6" spans="1:5">
      <c r="A6" t="s">
        <v>516</v>
      </c>
      <c r="B6" t="s">
        <v>68</v>
      </c>
    </row>
    <row r="7" spans="1:5">
      <c r="A7" t="s">
        <v>517</v>
      </c>
      <c r="B7" t="s">
        <v>68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15EE-B111-4C43-9E75-A767A849A3BB}">
  <dimension ref="A1:E10"/>
  <sheetViews>
    <sheetView workbookViewId="0">
      <selection activeCell="F8" sqref="F8"/>
    </sheetView>
  </sheetViews>
  <sheetFormatPr defaultRowHeight="15"/>
  <cols>
    <col min="1" max="1" width="25.28515625" customWidth="1"/>
    <col min="2" max="3" width="14.28515625" customWidth="1"/>
    <col min="4" max="4" width="22.42578125" customWidth="1"/>
    <col min="5" max="5" width="16.140625" customWidth="1"/>
  </cols>
  <sheetData>
    <row r="1" spans="1:5">
      <c r="A1" s="276" t="s">
        <v>515</v>
      </c>
      <c r="B1" s="276"/>
      <c r="C1" s="276"/>
      <c r="D1" s="276"/>
      <c r="E1" s="276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</row>
    <row r="3" spans="1:5">
      <c r="A3" t="s">
        <v>47</v>
      </c>
      <c r="B3" t="s">
        <v>13</v>
      </c>
      <c r="C3" t="s">
        <v>48</v>
      </c>
      <c r="D3" t="s">
        <v>49</v>
      </c>
    </row>
    <row r="4" spans="1:5">
      <c r="A4" t="s">
        <v>52</v>
      </c>
      <c r="B4" t="s">
        <v>13</v>
      </c>
      <c r="C4" t="s">
        <v>48</v>
      </c>
      <c r="D4" t="s">
        <v>49</v>
      </c>
    </row>
    <row r="5" spans="1:5">
      <c r="A5" t="s">
        <v>55</v>
      </c>
      <c r="B5" t="s">
        <v>13</v>
      </c>
      <c r="C5" t="s">
        <v>56</v>
      </c>
      <c r="D5" t="s">
        <v>44</v>
      </c>
    </row>
    <row r="6" spans="1:5">
      <c r="A6" t="s">
        <v>60</v>
      </c>
      <c r="B6" t="s">
        <v>13</v>
      </c>
      <c r="C6" t="s">
        <v>56</v>
      </c>
      <c r="D6" t="s">
        <v>44</v>
      </c>
    </row>
    <row r="7" spans="1:5">
      <c r="A7" t="s">
        <v>63</v>
      </c>
      <c r="B7" t="s">
        <v>61</v>
      </c>
      <c r="C7" t="s">
        <v>64</v>
      </c>
      <c r="D7" t="s">
        <v>44</v>
      </c>
    </row>
    <row r="8" spans="1:5">
      <c r="A8" t="s">
        <v>67</v>
      </c>
      <c r="B8" t="s">
        <v>61</v>
      </c>
      <c r="C8" t="s">
        <v>64</v>
      </c>
      <c r="D8" t="s">
        <v>44</v>
      </c>
    </row>
    <row r="9" spans="1:5">
      <c r="A9" t="s">
        <v>199</v>
      </c>
    </row>
    <row r="10" spans="1:5">
      <c r="A10" s="53" t="s">
        <v>93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DA74-824C-4EDF-8E68-A3EBDB9A932D}">
  <dimension ref="A1:G61"/>
  <sheetViews>
    <sheetView topLeftCell="C46" workbookViewId="0">
      <selection activeCell="E56" sqref="E56"/>
    </sheetView>
  </sheetViews>
  <sheetFormatPr defaultColWidth="9.140625" defaultRowHeight="15"/>
  <cols>
    <col min="1" max="1" width="9.140625" style="6"/>
    <col min="2" max="2" width="46.140625" style="6" customWidth="1"/>
    <col min="3" max="3" width="19.140625" style="6" customWidth="1"/>
    <col min="4" max="4" width="23.5703125" style="6" customWidth="1"/>
    <col min="5" max="5" width="48.28515625" style="6" customWidth="1"/>
    <col min="6" max="16384" width="9.140625" style="6"/>
  </cols>
  <sheetData>
    <row r="1" spans="1:7">
      <c r="A1" s="1" t="s">
        <v>248</v>
      </c>
      <c r="B1" s="1"/>
      <c r="C1" s="1" t="s">
        <v>1</v>
      </c>
      <c r="D1" s="1" t="s">
        <v>2</v>
      </c>
      <c r="E1" s="14" t="s">
        <v>8</v>
      </c>
      <c r="F1" s="14" t="s">
        <v>9</v>
      </c>
    </row>
    <row r="2" spans="1:7">
      <c r="A2" s="2">
        <v>1</v>
      </c>
      <c r="B2" s="2" t="str">
        <f>_xlfn.XLOOKUP(C2,'All '!B:B,'All '!A:A,"Not Found")</f>
        <v>TDAM005</v>
      </c>
      <c r="C2" s="2" t="s">
        <v>34</v>
      </c>
      <c r="D2" s="2" t="s">
        <v>13</v>
      </c>
      <c r="E2" s="6" t="s">
        <v>518</v>
      </c>
      <c r="F2" s="21">
        <v>46247</v>
      </c>
    </row>
    <row r="3" spans="1:7" s="7" customFormat="1">
      <c r="A3" s="2">
        <v>3</v>
      </c>
      <c r="B3" s="2" t="str">
        <f>_xlfn.XLOOKUP(C3,'All '!B:B,'All '!A:A,"Not Found")</f>
        <v>TDAM006</v>
      </c>
      <c r="C3" s="2" t="s">
        <v>39</v>
      </c>
      <c r="D3" s="2" t="s">
        <v>13</v>
      </c>
      <c r="E3" s="6" t="s">
        <v>519</v>
      </c>
      <c r="F3" s="21">
        <v>46212</v>
      </c>
      <c r="G3" s="7" t="s">
        <v>29</v>
      </c>
    </row>
    <row r="4" spans="1:7">
      <c r="A4" s="2">
        <v>4</v>
      </c>
      <c r="B4" s="2" t="str">
        <f>_xlfn.XLOOKUP(C4,'All '!B:B,'All '!A:A,"Not Found")</f>
        <v>Not Found</v>
      </c>
      <c r="C4" s="2" t="s">
        <v>494</v>
      </c>
      <c r="D4" s="2" t="s">
        <v>13</v>
      </c>
      <c r="E4" s="6" t="s">
        <v>520</v>
      </c>
      <c r="F4" s="21">
        <v>46213</v>
      </c>
      <c r="G4" s="6" t="s">
        <v>29</v>
      </c>
    </row>
    <row r="5" spans="1:7">
      <c r="A5" s="2">
        <v>5</v>
      </c>
      <c r="B5" s="2" t="str">
        <f>_xlfn.XLOOKUP(C5,'All '!B:B,'All '!A:A,"Not Found")</f>
        <v>TDAM004</v>
      </c>
      <c r="C5" s="5" t="s">
        <v>31</v>
      </c>
      <c r="D5" s="5" t="s">
        <v>13</v>
      </c>
      <c r="E5" s="7" t="s">
        <v>521</v>
      </c>
      <c r="F5" s="31">
        <v>46216</v>
      </c>
      <c r="G5" s="7" t="s">
        <v>29</v>
      </c>
    </row>
    <row r="6" spans="1:7">
      <c r="A6" s="2">
        <v>6</v>
      </c>
      <c r="B6" s="2" t="str">
        <f>_xlfn.XLOOKUP(C6,'All '!B:B,'All '!A:A,"Not Found")</f>
        <v>Not Found</v>
      </c>
      <c r="C6" s="2" t="s">
        <v>493</v>
      </c>
      <c r="D6" s="2" t="s">
        <v>13</v>
      </c>
      <c r="E6" s="6" t="s">
        <v>522</v>
      </c>
      <c r="F6" s="31">
        <v>46220</v>
      </c>
      <c r="G6" s="7" t="s">
        <v>29</v>
      </c>
    </row>
    <row r="7" spans="1:7">
      <c r="A7" s="2">
        <v>7</v>
      </c>
      <c r="B7" s="2" t="str">
        <f>_xlfn.XLOOKUP(C7,'All '!B:B,'All '!A:A,"Not Found")</f>
        <v>TDAM010</v>
      </c>
      <c r="C7" s="7" t="s">
        <v>55</v>
      </c>
      <c r="D7" s="2" t="s">
        <v>13</v>
      </c>
      <c r="E7" s="6" t="s">
        <v>523</v>
      </c>
      <c r="F7" s="31">
        <v>46220</v>
      </c>
      <c r="G7" s="7" t="s">
        <v>29</v>
      </c>
    </row>
    <row r="8" spans="1:7">
      <c r="A8" s="2">
        <v>8</v>
      </c>
      <c r="B8" s="2" t="str">
        <f>_xlfn.XLOOKUP(C8,'All '!B:B,'All '!A:A,"Not Found")</f>
        <v>TDAM009</v>
      </c>
      <c r="C8" s="2" t="s">
        <v>52</v>
      </c>
      <c r="D8" s="2" t="s">
        <v>13</v>
      </c>
      <c r="E8" s="6" t="s">
        <v>524</v>
      </c>
      <c r="F8" s="31">
        <v>46220</v>
      </c>
      <c r="G8" s="7" t="s">
        <v>29</v>
      </c>
    </row>
    <row r="9" spans="1:7">
      <c r="A9" s="2">
        <v>9</v>
      </c>
      <c r="B9" s="2" t="str">
        <f>_xlfn.XLOOKUP(C9,'All '!B:B,'All '!A:A,"Not Found")</f>
        <v>Not Found</v>
      </c>
      <c r="C9" s="2" t="s">
        <v>495</v>
      </c>
      <c r="D9" s="2" t="s">
        <v>13</v>
      </c>
      <c r="E9" s="6" t="s">
        <v>525</v>
      </c>
      <c r="F9" s="21">
        <v>46210</v>
      </c>
      <c r="G9" s="6" t="s">
        <v>29</v>
      </c>
    </row>
    <row r="10" spans="1:7">
      <c r="A10" s="2">
        <v>10</v>
      </c>
      <c r="B10" s="2" t="str">
        <f>_xlfn.XLOOKUP(C10,'All '!B:B,'All '!A:A,"Not Found")</f>
        <v>TDAP001</v>
      </c>
      <c r="C10" s="7" t="s">
        <v>60</v>
      </c>
      <c r="D10" s="2" t="s">
        <v>13</v>
      </c>
      <c r="E10" s="6" t="s">
        <v>526</v>
      </c>
      <c r="F10" s="31">
        <v>46219</v>
      </c>
      <c r="G10" s="6" t="s">
        <v>29</v>
      </c>
    </row>
    <row r="11" spans="1:7">
      <c r="A11" s="2">
        <v>11</v>
      </c>
      <c r="B11" s="2" t="str">
        <f>_xlfn.XLOOKUP(C11,'All '!B:B,'All '!A:A,"Not Found")</f>
        <v>TDAP002</v>
      </c>
      <c r="C11" s="7" t="s">
        <v>63</v>
      </c>
      <c r="D11" s="6" t="s">
        <v>64</v>
      </c>
      <c r="E11" s="6" t="s">
        <v>527</v>
      </c>
    </row>
    <row r="12" spans="1:7">
      <c r="A12" s="2">
        <v>12</v>
      </c>
      <c r="B12" s="2" t="str">
        <f>_xlfn.XLOOKUP(C12,'All '!B:B,'All '!A:A,"Not Found")</f>
        <v>TDAF001</v>
      </c>
      <c r="C12" s="7" t="s">
        <v>67</v>
      </c>
      <c r="D12" s="6" t="s">
        <v>64</v>
      </c>
      <c r="E12" s="6" t="s">
        <v>528</v>
      </c>
      <c r="F12" s="21">
        <v>46245</v>
      </c>
      <c r="G12" s="21" t="s">
        <v>29</v>
      </c>
    </row>
    <row r="13" spans="1:7">
      <c r="A13" s="2">
        <v>13</v>
      </c>
      <c r="B13" s="2" t="str">
        <f>_xlfn.XLOOKUP(C13,'All '!B:B,'All '!A:A,"Not Found")</f>
        <v>TDAM001</v>
      </c>
      <c r="C13" s="2" t="s">
        <v>12</v>
      </c>
      <c r="D13" s="6" t="s">
        <v>77</v>
      </c>
      <c r="E13" s="6" t="s">
        <v>529</v>
      </c>
    </row>
    <row r="14" spans="1:7">
      <c r="A14" s="2">
        <v>14</v>
      </c>
      <c r="B14" s="2" t="str">
        <f>_xlfn.XLOOKUP(C14,'All '!B:B,'All '!A:A,"Not Found")</f>
        <v>Not Found</v>
      </c>
      <c r="C14" s="6" t="s">
        <v>496</v>
      </c>
      <c r="D14" s="6" t="s">
        <v>77</v>
      </c>
      <c r="E14" s="6" t="s">
        <v>530</v>
      </c>
      <c r="F14" s="21">
        <v>46234</v>
      </c>
      <c r="G14" s="6" t="s">
        <v>29</v>
      </c>
    </row>
    <row r="15" spans="1:7">
      <c r="A15" s="2">
        <v>15</v>
      </c>
      <c r="B15" s="2" t="str">
        <f>_xlfn.XLOOKUP(C15,'All '!B:B,'All '!A:A,"Not Found")</f>
        <v>TDAF002</v>
      </c>
      <c r="C15" s="6" t="s">
        <v>71</v>
      </c>
      <c r="D15" s="6" t="s">
        <v>77</v>
      </c>
      <c r="E15" s="6" t="s">
        <v>531</v>
      </c>
      <c r="F15" s="21">
        <v>46234</v>
      </c>
      <c r="G15" s="6" t="s">
        <v>29</v>
      </c>
    </row>
    <row r="16" spans="1:7">
      <c r="A16" s="2">
        <v>16</v>
      </c>
      <c r="B16" s="2" t="str">
        <f>_xlfn.XLOOKUP(C16,'All '!B:B,'All '!A:A,"Not Found")</f>
        <v>TDAF005</v>
      </c>
      <c r="C16" s="6" t="s">
        <v>82</v>
      </c>
      <c r="D16" s="6" t="s">
        <v>77</v>
      </c>
      <c r="E16" s="6" t="s">
        <v>532</v>
      </c>
    </row>
    <row r="17" spans="1:7">
      <c r="A17" s="2">
        <v>17</v>
      </c>
      <c r="B17" s="2" t="str">
        <f>_xlfn.XLOOKUP(C17,'All '!B:B,'All '!A:A,"Not Found")</f>
        <v>TDAN001</v>
      </c>
      <c r="C17" s="6" t="s">
        <v>88</v>
      </c>
      <c r="D17" s="6" t="s">
        <v>89</v>
      </c>
      <c r="E17" s="6" t="s">
        <v>533</v>
      </c>
      <c r="F17" s="21">
        <v>46211</v>
      </c>
      <c r="G17" s="6" t="s">
        <v>29</v>
      </c>
    </row>
    <row r="18" spans="1:7">
      <c r="A18" s="2">
        <v>17</v>
      </c>
      <c r="B18" s="2" t="str">
        <f>_xlfn.XLOOKUP(C18,'All '!B:B,'All '!A:A,"Not Found")</f>
        <v>TDAA001</v>
      </c>
      <c r="C18" s="2" t="s">
        <v>96</v>
      </c>
      <c r="D18" s="2" t="s">
        <v>97</v>
      </c>
      <c r="E18" s="6" t="s">
        <v>534</v>
      </c>
      <c r="F18" s="21">
        <v>46237</v>
      </c>
      <c r="G18" s="6" t="s">
        <v>29</v>
      </c>
    </row>
    <row r="19" spans="1:7">
      <c r="A19" s="2">
        <v>18</v>
      </c>
      <c r="B19" s="2" t="str">
        <f>_xlfn.XLOOKUP(C19,'All '!B:B,'All '!A:A,"Not Found")</f>
        <v>TDAA002</v>
      </c>
      <c r="C19" s="2" t="s">
        <v>101</v>
      </c>
      <c r="D19" s="2" t="s">
        <v>97</v>
      </c>
      <c r="E19" s="6" t="s">
        <v>535</v>
      </c>
    </row>
    <row r="20" spans="1:7">
      <c r="A20" s="2">
        <v>19</v>
      </c>
      <c r="B20" s="2" t="str">
        <f>_xlfn.XLOOKUP(C20,'All '!B:B,'All '!A:A,"Not Found")</f>
        <v>Not Found</v>
      </c>
      <c r="C20" s="6" t="s">
        <v>499</v>
      </c>
      <c r="D20" s="2" t="s">
        <v>97</v>
      </c>
      <c r="E20" s="6" t="s">
        <v>536</v>
      </c>
      <c r="F20" s="21">
        <v>46211</v>
      </c>
      <c r="G20" s="6" t="s">
        <v>29</v>
      </c>
    </row>
    <row r="21" spans="1:7">
      <c r="A21" s="2">
        <v>20</v>
      </c>
      <c r="B21" s="2" t="str">
        <f>_xlfn.XLOOKUP(C21,'All '!B:B,'All '!A:A,"Not Found")</f>
        <v>TDAR005</v>
      </c>
      <c r="C21" s="2" t="s">
        <v>125</v>
      </c>
      <c r="D21" s="2" t="s">
        <v>111</v>
      </c>
      <c r="E21" s="6" t="s">
        <v>537</v>
      </c>
      <c r="G21" s="6" t="s">
        <v>29</v>
      </c>
    </row>
    <row r="22" spans="1:7">
      <c r="A22" s="2">
        <v>21</v>
      </c>
      <c r="B22" s="2" t="str">
        <f>_xlfn.XLOOKUP(C22,'All '!B:B,'All '!A:A,"Not Found")</f>
        <v>TDAR006</v>
      </c>
      <c r="C22" s="2" t="s">
        <v>130</v>
      </c>
      <c r="D22" s="2" t="s">
        <v>111</v>
      </c>
      <c r="E22" s="6" t="s">
        <v>538</v>
      </c>
      <c r="F22" s="21">
        <v>46239</v>
      </c>
      <c r="G22" s="6" t="s">
        <v>29</v>
      </c>
    </row>
    <row r="23" spans="1:7">
      <c r="A23" s="2">
        <v>22</v>
      </c>
      <c r="B23" s="2" t="str">
        <f>_xlfn.XLOOKUP(C23,'All '!B:B,'All '!A:A,"Not Found")</f>
        <v>TDAR007</v>
      </c>
      <c r="C23" s="2" t="s">
        <v>133</v>
      </c>
      <c r="D23" s="2" t="s">
        <v>111</v>
      </c>
      <c r="E23" s="6" t="s">
        <v>539</v>
      </c>
      <c r="F23" s="21">
        <v>46239</v>
      </c>
      <c r="G23" s="6" t="s">
        <v>29</v>
      </c>
    </row>
    <row r="24" spans="1:7">
      <c r="A24" s="2">
        <v>23</v>
      </c>
      <c r="B24" s="2" t="str">
        <f>_xlfn.XLOOKUP(C24,'All '!B:B,'All '!A:A,"Not Found")</f>
        <v>TDAR012</v>
      </c>
      <c r="C24" s="2" t="s">
        <v>150</v>
      </c>
      <c r="D24" s="2" t="s">
        <v>111</v>
      </c>
      <c r="E24" s="6" t="s">
        <v>540</v>
      </c>
      <c r="F24" s="21">
        <v>46222</v>
      </c>
      <c r="G24" s="6" t="s">
        <v>29</v>
      </c>
    </row>
    <row r="25" spans="1:7">
      <c r="A25" s="2">
        <v>24</v>
      </c>
      <c r="B25" s="2" t="str">
        <f>_xlfn.XLOOKUP(C25,'All '!B:B,'All '!A:A,"Not Found")</f>
        <v>TDAR013</v>
      </c>
      <c r="C25" s="2" t="s">
        <v>154</v>
      </c>
      <c r="D25" s="2" t="s">
        <v>111</v>
      </c>
      <c r="E25" s="6" t="s">
        <v>541</v>
      </c>
      <c r="G25" s="6" t="s">
        <v>29</v>
      </c>
    </row>
    <row r="26" spans="1:7">
      <c r="A26" s="2">
        <v>25</v>
      </c>
      <c r="B26" s="2" t="str">
        <f>_xlfn.XLOOKUP(C26,'All '!B:B,'All '!A:A,"Not Found")</f>
        <v>TDAR014</v>
      </c>
      <c r="C26" s="2" t="s">
        <v>157</v>
      </c>
      <c r="D26" s="2" t="s">
        <v>111</v>
      </c>
      <c r="E26" s="6" t="s">
        <v>542</v>
      </c>
    </row>
    <row r="27" spans="1:7">
      <c r="A27" s="2">
        <v>27</v>
      </c>
      <c r="B27" s="2" t="str">
        <f>_xlfn.XLOOKUP(C27,'All '!B:B,'All '!A:A,"Not Found")</f>
        <v>TDAR016</v>
      </c>
      <c r="C27" s="2" t="s">
        <v>163</v>
      </c>
      <c r="D27" s="2" t="s">
        <v>111</v>
      </c>
      <c r="E27" s="6" t="s">
        <v>543</v>
      </c>
      <c r="F27" s="21">
        <v>46220</v>
      </c>
      <c r="G27" s="6" t="s">
        <v>29</v>
      </c>
    </row>
    <row r="28" spans="1:7">
      <c r="A28" s="2">
        <v>28</v>
      </c>
      <c r="B28" s="2" t="str">
        <f>_xlfn.XLOOKUP(C28,'All '!B:B,'All '!A:A,"Not Found")</f>
        <v>TDAR017</v>
      </c>
      <c r="C28" s="2" t="s">
        <v>165</v>
      </c>
      <c r="D28" s="2" t="s">
        <v>111</v>
      </c>
      <c r="E28" s="6" t="s">
        <v>544</v>
      </c>
    </row>
    <row r="29" spans="1:7">
      <c r="A29" s="2">
        <v>29</v>
      </c>
      <c r="B29" s="2" t="str">
        <f>_xlfn.XLOOKUP(C29,'All '!B:B,'All '!A:A,"Not Found")</f>
        <v>Not Found</v>
      </c>
      <c r="C29" s="2" t="s">
        <v>502</v>
      </c>
      <c r="D29" s="2" t="s">
        <v>111</v>
      </c>
      <c r="E29" s="6" t="s">
        <v>545</v>
      </c>
    </row>
    <row r="30" spans="1:7">
      <c r="A30" s="2">
        <v>31</v>
      </c>
      <c r="B30" s="2" t="str">
        <f>_xlfn.XLOOKUP(C30,'All '!B:B,'All '!A:A,"Not Found")</f>
        <v>TDAR002</v>
      </c>
      <c r="C30" s="5" t="s">
        <v>116</v>
      </c>
      <c r="D30" s="5" t="s">
        <v>111</v>
      </c>
      <c r="E30" s="7" t="s">
        <v>546</v>
      </c>
      <c r="F30" s="21">
        <v>46245</v>
      </c>
      <c r="G30" s="6" t="s">
        <v>29</v>
      </c>
    </row>
    <row r="31" spans="1:7">
      <c r="A31" s="2">
        <v>32</v>
      </c>
      <c r="B31" s="2" t="str">
        <f>_xlfn.XLOOKUP(C31,'All '!B:B,'All '!A:A,"Not Found")</f>
        <v>TDAR003</v>
      </c>
      <c r="C31" s="5" t="s">
        <v>119</v>
      </c>
      <c r="D31" s="5" t="s">
        <v>111</v>
      </c>
      <c r="E31" s="7" t="s">
        <v>547</v>
      </c>
      <c r="F31" s="21">
        <v>46216</v>
      </c>
      <c r="G31" s="6" t="s">
        <v>29</v>
      </c>
    </row>
    <row r="32" spans="1:7">
      <c r="A32" s="2">
        <v>38</v>
      </c>
      <c r="B32" s="2" t="str">
        <f>_xlfn.XLOOKUP(C32,'All '!B:B,'All '!A:A,"Not Found")</f>
        <v>TDAR021</v>
      </c>
      <c r="C32" s="2" t="s">
        <v>177</v>
      </c>
      <c r="D32" s="2" t="s">
        <v>111</v>
      </c>
      <c r="E32" s="6" t="s">
        <v>548</v>
      </c>
      <c r="F32" s="21">
        <v>46237</v>
      </c>
      <c r="G32" s="6" t="s">
        <v>29</v>
      </c>
    </row>
    <row r="33" spans="1:7">
      <c r="A33" s="2">
        <v>39</v>
      </c>
      <c r="B33" s="2" t="str">
        <f>_xlfn.XLOOKUP(C33,'All '!B:B,'All '!A:A,"Not Found")</f>
        <v>TDAR019</v>
      </c>
      <c r="C33" s="2" t="s">
        <v>171</v>
      </c>
      <c r="D33" s="2" t="s">
        <v>111</v>
      </c>
      <c r="E33" s="6" t="s">
        <v>549</v>
      </c>
      <c r="F33" s="21">
        <v>46237</v>
      </c>
      <c r="G33" s="6" t="s">
        <v>29</v>
      </c>
    </row>
    <row r="34" spans="1:7">
      <c r="A34" s="2">
        <v>40</v>
      </c>
      <c r="B34" s="2" t="str">
        <f>_xlfn.XLOOKUP(C34,'All '!B:B,'All '!A:A,"Not Found")</f>
        <v>TDAR020</v>
      </c>
      <c r="C34" s="2" t="s">
        <v>174</v>
      </c>
      <c r="D34" s="2" t="s">
        <v>111</v>
      </c>
      <c r="E34" s="6" t="s">
        <v>550</v>
      </c>
    </row>
    <row r="35" spans="1:7">
      <c r="A35" s="2">
        <v>41</v>
      </c>
      <c r="B35" s="2" t="str">
        <f>_xlfn.XLOOKUP(C35,'All '!B:B,'All '!A:A,"Not Found")</f>
        <v>TDAR008</v>
      </c>
      <c r="C35" s="6" t="s">
        <v>137</v>
      </c>
      <c r="D35" s="6" t="s">
        <v>111</v>
      </c>
      <c r="E35" s="6" t="s">
        <v>551</v>
      </c>
    </row>
    <row r="36" spans="1:7">
      <c r="A36" s="2">
        <v>42</v>
      </c>
      <c r="B36" s="2" t="str">
        <f>_xlfn.XLOOKUP(C36,'All '!B:B,'All '!A:A,"Not Found")</f>
        <v>TDAR009</v>
      </c>
      <c r="C36" s="6" t="s">
        <v>141</v>
      </c>
      <c r="D36" s="6" t="s">
        <v>111</v>
      </c>
      <c r="E36" s="6" t="s">
        <v>552</v>
      </c>
    </row>
    <row r="37" spans="1:7">
      <c r="A37" s="2">
        <v>43</v>
      </c>
      <c r="B37" s="2" t="str">
        <f>_xlfn.XLOOKUP(C37,'All '!B:B,'All '!A:A,"Not Found")</f>
        <v>TDAR010</v>
      </c>
      <c r="C37" s="6" t="s">
        <v>144</v>
      </c>
      <c r="D37" s="6" t="s">
        <v>111</v>
      </c>
      <c r="E37" s="6" t="s">
        <v>553</v>
      </c>
      <c r="F37" s="21">
        <v>46213</v>
      </c>
      <c r="G37" s="6" t="s">
        <v>29</v>
      </c>
    </row>
    <row r="38" spans="1:7">
      <c r="A38" s="2">
        <v>44</v>
      </c>
      <c r="B38" s="2" t="str">
        <f>_xlfn.XLOOKUP(C38,'All '!B:B,'All '!A:A,"Not Found")</f>
        <v>Not Found</v>
      </c>
      <c r="C38" s="6" t="s">
        <v>501</v>
      </c>
      <c r="D38" s="6" t="s">
        <v>111</v>
      </c>
      <c r="E38" s="6" t="s">
        <v>554</v>
      </c>
    </row>
    <row r="39" spans="1:7">
      <c r="A39" s="2">
        <v>46</v>
      </c>
      <c r="B39" s="2" t="str">
        <f>_xlfn.XLOOKUP(C39,'All '!B:B,'All '!A:A,"Not Found")</f>
        <v>TDAU001</v>
      </c>
      <c r="C39" s="2" t="s">
        <v>203</v>
      </c>
      <c r="D39" s="2" t="s">
        <v>204</v>
      </c>
      <c r="E39" s="6" t="s">
        <v>555</v>
      </c>
    </row>
    <row r="40" spans="1:7">
      <c r="A40" s="2">
        <v>47</v>
      </c>
      <c r="B40" s="2" t="str">
        <f>_xlfn.XLOOKUP(C40,'All '!B:B,'All '!A:A,"Not Found")</f>
        <v>Not Found</v>
      </c>
      <c r="C40" s="2" t="s">
        <v>504</v>
      </c>
      <c r="D40" s="2" t="s">
        <v>204</v>
      </c>
      <c r="E40" s="6" t="s">
        <v>556</v>
      </c>
    </row>
    <row r="41" spans="1:7">
      <c r="A41" s="2">
        <v>49</v>
      </c>
      <c r="B41" s="2" t="str">
        <f>_xlfn.XLOOKUP(C41,'All '!B:B,'All '!A:A,"Not Found")</f>
        <v>TDAU004</v>
      </c>
      <c r="C41" s="2" t="s">
        <v>214</v>
      </c>
      <c r="D41" s="2" t="s">
        <v>204</v>
      </c>
      <c r="E41" s="6" t="s">
        <v>557</v>
      </c>
    </row>
    <row r="42" spans="1:7">
      <c r="A42" s="2">
        <v>50</v>
      </c>
      <c r="B42" s="2" t="str">
        <f>_xlfn.XLOOKUP(C42,'All '!B:B,'All '!A:A,"Not Found")</f>
        <v>TDAU005</v>
      </c>
      <c r="C42" s="2" t="s">
        <v>217</v>
      </c>
      <c r="D42" s="2" t="s">
        <v>204</v>
      </c>
      <c r="E42" s="6" t="s">
        <v>558</v>
      </c>
    </row>
    <row r="43" spans="1:7">
      <c r="A43" s="2">
        <v>51</v>
      </c>
      <c r="B43" s="2" t="str">
        <f>_xlfn.XLOOKUP(C43,'All '!B:B,'All '!A:A,"Not Found")</f>
        <v>TDAU006</v>
      </c>
      <c r="C43" s="6" t="s">
        <v>219</v>
      </c>
      <c r="D43" s="6" t="s">
        <v>204</v>
      </c>
      <c r="E43" s="6" t="s">
        <v>559</v>
      </c>
    </row>
    <row r="44" spans="1:7">
      <c r="A44" s="2"/>
      <c r="B44" s="2"/>
      <c r="C44" s="7" t="s">
        <v>93</v>
      </c>
      <c r="D44" s="6" t="s">
        <v>89</v>
      </c>
      <c r="E44" s="6" t="s">
        <v>560</v>
      </c>
      <c r="F44" s="21">
        <v>46247</v>
      </c>
      <c r="G44" s="6" t="s">
        <v>29</v>
      </c>
    </row>
    <row r="45" spans="1:7">
      <c r="C45" s="6" t="s">
        <v>199</v>
      </c>
      <c r="D45" s="6" t="s">
        <v>111</v>
      </c>
      <c r="E45" s="6" t="s">
        <v>561</v>
      </c>
      <c r="G45" s="6" t="s">
        <v>29</v>
      </c>
    </row>
    <row r="46" spans="1:7">
      <c r="C46" s="6" t="s">
        <v>478</v>
      </c>
      <c r="D46" s="6" t="s">
        <v>479</v>
      </c>
      <c r="E46" s="6" t="s">
        <v>562</v>
      </c>
      <c r="G46" s="6" t="s">
        <v>29</v>
      </c>
    </row>
    <row r="47" spans="1:7">
      <c r="C47" s="4" t="s">
        <v>371</v>
      </c>
      <c r="D47" s="6" t="s">
        <v>89</v>
      </c>
      <c r="E47" s="6" t="s">
        <v>563</v>
      </c>
      <c r="G47" s="6" t="s">
        <v>29</v>
      </c>
    </row>
    <row r="48" spans="1:7">
      <c r="C48" s="4" t="s">
        <v>373</v>
      </c>
      <c r="D48" s="6" t="s">
        <v>89</v>
      </c>
      <c r="E48" s="6" t="s">
        <v>564</v>
      </c>
      <c r="G48" s="6" t="s">
        <v>29</v>
      </c>
    </row>
    <row r="49" spans="3:7">
      <c r="C49" s="4" t="s">
        <v>372</v>
      </c>
      <c r="D49" s="6" t="s">
        <v>111</v>
      </c>
      <c r="E49" s="6" t="s">
        <v>565</v>
      </c>
      <c r="G49" s="6" t="s">
        <v>29</v>
      </c>
    </row>
    <row r="50" spans="3:7">
      <c r="C50" s="6" t="s">
        <v>481</v>
      </c>
      <c r="D50" s="6" t="s">
        <v>479</v>
      </c>
      <c r="E50" s="6" t="s">
        <v>566</v>
      </c>
      <c r="G50" s="6" t="s">
        <v>29</v>
      </c>
    </row>
    <row r="51" spans="3:7">
      <c r="C51" s="6" t="s">
        <v>364</v>
      </c>
      <c r="D51" s="6" t="s">
        <v>13</v>
      </c>
      <c r="E51" s="6" t="s">
        <v>567</v>
      </c>
      <c r="G51" s="6" t="s">
        <v>29</v>
      </c>
    </row>
    <row r="52" spans="3:7">
      <c r="C52" s="6" t="s">
        <v>482</v>
      </c>
      <c r="D52" s="6" t="s">
        <v>13</v>
      </c>
      <c r="E52" s="6" t="s">
        <v>568</v>
      </c>
      <c r="G52" s="6" t="s">
        <v>29</v>
      </c>
    </row>
    <row r="53" spans="3:7">
      <c r="C53" s="6" t="s">
        <v>483</v>
      </c>
      <c r="D53" s="6" t="s">
        <v>89</v>
      </c>
      <c r="E53" s="6" t="s">
        <v>569</v>
      </c>
      <c r="G53" s="6" t="s">
        <v>29</v>
      </c>
    </row>
    <row r="54" spans="3:7">
      <c r="C54" s="6" t="s">
        <v>484</v>
      </c>
      <c r="D54" s="6" t="s">
        <v>89</v>
      </c>
      <c r="E54" s="6" t="s">
        <v>570</v>
      </c>
      <c r="G54" s="6" t="s">
        <v>29</v>
      </c>
    </row>
    <row r="55" spans="3:7">
      <c r="C55" s="6" t="s">
        <v>485</v>
      </c>
      <c r="D55" s="6" t="s">
        <v>13</v>
      </c>
      <c r="E55" s="6" t="s">
        <v>571</v>
      </c>
    </row>
    <row r="56" spans="3:7">
      <c r="C56" s="6" t="s">
        <v>572</v>
      </c>
      <c r="E56" s="6" t="s">
        <v>573</v>
      </c>
    </row>
    <row r="57" spans="3:7">
      <c r="E57" s="6" t="s">
        <v>574</v>
      </c>
    </row>
    <row r="58" spans="3:7">
      <c r="E58" s="6" t="s">
        <v>575</v>
      </c>
    </row>
    <row r="59" spans="3:7">
      <c r="E59" s="6" t="s">
        <v>576</v>
      </c>
    </row>
    <row r="60" spans="3:7">
      <c r="E60" s="6" t="s">
        <v>577</v>
      </c>
    </row>
    <row r="61" spans="3:7">
      <c r="E61" s="6" t="s">
        <v>578</v>
      </c>
    </row>
  </sheetData>
  <sortState xmlns:xlrd2="http://schemas.microsoft.com/office/spreadsheetml/2017/richdata2" ref="A2:E47">
    <sortCondition ref="D2:D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2026-05-26T06:54:32Z</dcterms:created>
  <dcterms:modified xsi:type="dcterms:W3CDTF">2026-10-02T13:44:37Z</dcterms:modified>
  <cp:category/>
  <cp:contentStatus/>
</cp:coreProperties>
</file>